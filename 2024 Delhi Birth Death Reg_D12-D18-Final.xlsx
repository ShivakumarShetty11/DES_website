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EC37BFE5-7FDB-432B-863B-DCEF0A8292E7}" xr6:coauthVersionLast="47" xr6:coauthVersionMax="47" xr10:uidLastSave="{00000000-0000-0000-0000-000000000000}"/>
  <bookViews>
    <workbookView xWindow="-98" yWindow="-98" windowWidth="21795" windowHeight="13695" tabRatio="886" activeTab="4" xr2:uid="{00000000-000D-0000-FFFF-FFFF00000000}"/>
  </bookViews>
  <sheets>
    <sheet name="D-12 &amp; D-13" sheetId="14" r:id="rId1"/>
    <sheet name="D-14" sheetId="15" r:id="rId2"/>
    <sheet name="D-15" sheetId="27" r:id="rId3"/>
    <sheet name="D-16" sheetId="23" r:id="rId4"/>
    <sheet name="D-18" sheetId="21" r:id="rId5"/>
  </sheets>
  <definedNames>
    <definedName name="_xlnm.Print_Area" localSheetId="0">'D-12 &amp; D-13'!$A$1:$N$18</definedName>
    <definedName name="_xlnm.Print_Area" localSheetId="4">'D-18'!$A$1:$K$29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5" l="1"/>
  <c r="F7" i="15"/>
  <c r="J6" i="15"/>
  <c r="F6" i="15"/>
  <c r="J5" i="15"/>
  <c r="F5" i="15"/>
  <c r="M17" i="14" l="1"/>
  <c r="L17" i="14"/>
  <c r="K17" i="14"/>
  <c r="J17" i="14"/>
  <c r="F17" i="14"/>
  <c r="M16" i="14"/>
  <c r="L16" i="14"/>
  <c r="K16" i="14"/>
  <c r="J16" i="14"/>
  <c r="F16" i="14"/>
  <c r="M15" i="14"/>
  <c r="L15" i="14"/>
  <c r="K15" i="14"/>
  <c r="J15" i="14"/>
  <c r="F15" i="14"/>
  <c r="M7" i="14"/>
  <c r="L7" i="14"/>
  <c r="K7" i="14"/>
  <c r="J7" i="14"/>
  <c r="F7" i="14"/>
  <c r="M6" i="14"/>
  <c r="L6" i="14"/>
  <c r="K6" i="14"/>
  <c r="J6" i="14"/>
  <c r="F6" i="14"/>
  <c r="M5" i="14"/>
  <c r="L5" i="14"/>
  <c r="K5" i="14"/>
  <c r="J5" i="14"/>
  <c r="F5" i="14"/>
  <c r="K18" i="27" l="1"/>
  <c r="J18" i="27"/>
  <c r="I18" i="27"/>
  <c r="H18" i="27"/>
  <c r="G18" i="27"/>
  <c r="F18" i="27"/>
  <c r="E18" i="27"/>
  <c r="D18" i="27"/>
  <c r="L17" i="27"/>
  <c r="L16" i="27"/>
  <c r="L15" i="27"/>
  <c r="K8" i="27"/>
  <c r="J8" i="27"/>
  <c r="I8" i="27"/>
  <c r="H8" i="27"/>
  <c r="G8" i="27"/>
  <c r="F8" i="27"/>
  <c r="E8" i="27"/>
  <c r="D8" i="27"/>
  <c r="L7" i="27"/>
  <c r="L6" i="27"/>
  <c r="L5" i="27"/>
  <c r="L18" i="27" l="1"/>
  <c r="L8" i="27"/>
  <c r="J29" i="21"/>
  <c r="I29" i="21"/>
  <c r="H29" i="21"/>
  <c r="G29" i="21"/>
  <c r="F29" i="21"/>
  <c r="E29" i="21"/>
  <c r="D29" i="21" l="1"/>
  <c r="C29" i="21"/>
  <c r="K28" i="21"/>
  <c r="K27" i="21"/>
  <c r="K26" i="21"/>
  <c r="K25" i="21"/>
  <c r="K24" i="21"/>
  <c r="K23" i="21"/>
  <c r="K22" i="21"/>
  <c r="K21" i="21"/>
  <c r="K20" i="21"/>
  <c r="J14" i="21"/>
  <c r="I14" i="21"/>
  <c r="H14" i="21"/>
  <c r="G14" i="21"/>
  <c r="F14" i="21"/>
  <c r="E14" i="21"/>
  <c r="D14" i="21"/>
  <c r="C14" i="21"/>
  <c r="K13" i="21"/>
  <c r="K12" i="21"/>
  <c r="K11" i="21"/>
  <c r="K10" i="21"/>
  <c r="K9" i="21"/>
  <c r="K8" i="21"/>
  <c r="K7" i="21"/>
  <c r="K6" i="21"/>
  <c r="K5" i="21"/>
  <c r="K14" i="21" l="1"/>
  <c r="K29" i="21"/>
  <c r="K18" i="23"/>
  <c r="J18" i="23"/>
  <c r="I18" i="23"/>
  <c r="H18" i="23"/>
  <c r="G18" i="23"/>
  <c r="F18" i="23"/>
  <c r="E18" i="23"/>
  <c r="D18" i="23"/>
  <c r="L17" i="23"/>
  <c r="L16" i="23"/>
  <c r="L15" i="23"/>
  <c r="K8" i="23"/>
  <c r="J8" i="23"/>
  <c r="I8" i="23"/>
  <c r="H8" i="23"/>
  <c r="G8" i="23"/>
  <c r="F8" i="23"/>
  <c r="E8" i="23"/>
  <c r="D8" i="23"/>
  <c r="L7" i="23"/>
  <c r="L6" i="23"/>
  <c r="L5" i="23"/>
  <c r="L18" i="23" l="1"/>
  <c r="L8" i="23"/>
  <c r="I8" i="15"/>
  <c r="H8" i="15"/>
  <c r="G8" i="15"/>
  <c r="E8" i="15"/>
  <c r="D8" i="15"/>
  <c r="C8" i="15"/>
  <c r="I18" i="14"/>
  <c r="H18" i="14"/>
  <c r="G18" i="14"/>
  <c r="E18" i="14"/>
  <c r="D18" i="14"/>
  <c r="C18" i="14"/>
  <c r="I8" i="14"/>
  <c r="H8" i="14"/>
  <c r="G8" i="14"/>
  <c r="E8" i="14"/>
  <c r="D8" i="14"/>
  <c r="C8" i="14"/>
  <c r="N17" i="14" l="1"/>
  <c r="M18" i="14"/>
  <c r="K8" i="15"/>
  <c r="F8" i="15"/>
  <c r="J8" i="15"/>
  <c r="J18" i="14"/>
  <c r="K18" i="14"/>
  <c r="F18" i="14"/>
  <c r="N15" i="14"/>
  <c r="N16" i="14"/>
  <c r="L18" i="14"/>
  <c r="J8" i="14"/>
  <c r="F8" i="14"/>
  <c r="N7" i="15"/>
  <c r="M8" i="15"/>
  <c r="L8" i="15"/>
  <c r="N6" i="15"/>
  <c r="N5" i="15"/>
  <c r="N6" i="14"/>
  <c r="L8" i="14"/>
  <c r="M8" i="14"/>
  <c r="N7" i="14"/>
  <c r="N5" i="14"/>
  <c r="K8" i="14"/>
  <c r="N18" i="14" l="1"/>
  <c r="N8" i="14"/>
  <c r="N8" i="15"/>
</calcChain>
</file>

<file path=xl/sharedStrings.xml><?xml version="1.0" encoding="utf-8"?>
<sst xmlns="http://schemas.openxmlformats.org/spreadsheetml/2006/main" count="207" uniqueCount="68">
  <si>
    <t>SL. NO.</t>
  </si>
  <si>
    <t>DISTRICT</t>
  </si>
  <si>
    <t>URBAN</t>
  </si>
  <si>
    <t>RURAL</t>
  </si>
  <si>
    <t>TOTAL</t>
  </si>
  <si>
    <t>DOMICILIARY</t>
  </si>
  <si>
    <t>ALL</t>
  </si>
  <si>
    <t>INSTITUTIONAL</t>
  </si>
  <si>
    <t>DELHI CANTT</t>
  </si>
  <si>
    <t>MALE</t>
  </si>
  <si>
    <t>FEMALE</t>
  </si>
  <si>
    <t xml:space="preserve"> </t>
  </si>
  <si>
    <t>OCCUPATION</t>
  </si>
  <si>
    <t>AGE</t>
  </si>
  <si>
    <t>PROFESSIONAL / TECHNICAL RELATED WORKERS</t>
  </si>
  <si>
    <t>CLERICAL WORKERS</t>
  </si>
  <si>
    <t>SALE WORKERS</t>
  </si>
  <si>
    <t>SERVICE WORKERS</t>
  </si>
  <si>
    <t>PRODUCTION AND OTHER RELATED WORKERS</t>
  </si>
  <si>
    <t xml:space="preserve">NDMC   </t>
  </si>
  <si>
    <t>TABLE :D-14</t>
  </si>
  <si>
    <t>INFANTS DEATHS BY AGE AND SEX</t>
  </si>
  <si>
    <t xml:space="preserve">ALL </t>
  </si>
  <si>
    <t>&lt; 7 DAYS</t>
  </si>
  <si>
    <t>7-28 DAYS</t>
  </si>
  <si>
    <t>28 DAYS TO 1 YEAR</t>
  </si>
  <si>
    <t>All</t>
  </si>
  <si>
    <t>O95-O99</t>
  </si>
  <si>
    <t>O10-O92</t>
  </si>
  <si>
    <t>PREGNANCY, WITH ABORTIVE OUTCOME</t>
  </si>
  <si>
    <t>40-44</t>
  </si>
  <si>
    <t>35-39</t>
  </si>
  <si>
    <t>30-34</t>
  </si>
  <si>
    <t>25-29</t>
  </si>
  <si>
    <t>20-24</t>
  </si>
  <si>
    <t>15-19</t>
  </si>
  <si>
    <t>&lt; 15 yr</t>
  </si>
  <si>
    <t>AGE OF MOTHER</t>
  </si>
  <si>
    <t>DESCRIPTION</t>
  </si>
  <si>
    <t>CAUSE</t>
  </si>
  <si>
    <t>OTHER DIRECT OBSTRIC DEATHS</t>
  </si>
  <si>
    <t>PREGNANCY RELATED DEATHS BY AGE AND OCCUPATION (URBAN)</t>
  </si>
  <si>
    <t>&lt;15</t>
  </si>
  <si>
    <t>HOUSEWIFE / NON WORKERS</t>
  </si>
  <si>
    <t>OTHERS/NOT STATED</t>
  </si>
  <si>
    <t>PREGNANCY RELATED DEATHS BY AGE AND OCCUPATION (RURAL)</t>
  </si>
  <si>
    <t>AGE GROUP</t>
  </si>
  <si>
    <t>45 AND ABOVE</t>
  </si>
  <si>
    <t>OTHER OBSTRIC CONDITIONS N.E.C.</t>
  </si>
  <si>
    <t>TABLE : D-16</t>
  </si>
  <si>
    <t>PREGNANCY RELATED DEATHS BY AGE GROUP OF THE DECEASED (MOTHER) AND CAUSE OF DEATH FOR MEDICALLY CERTIFIED OR NOT DEATHS (RURAL)</t>
  </si>
  <si>
    <t>PREGNANCY RELATED DEATHS BY AGE GROUP OF THE DECEASED (MOTHER) AND CAUSE OF DEATH FOR MEDICALLY CERTIFIED OR NOT DEATHS (URBAN)</t>
  </si>
  <si>
    <t>OTHER</t>
  </si>
  <si>
    <t>O00-O08</t>
  </si>
  <si>
    <t>TABLE : D-15</t>
  </si>
  <si>
    <t>PREGNANCY RELATED DEATHS BY AGE GROUP OF THE DECEASED (MOTHER) AND CAUSE OF DEATH FOR MEDICALLY CERTIFIED DEATHS (RURAL)</t>
  </si>
  <si>
    <t>PREGNANCY RELATED DEATHS BY AGE GROUP OF THE DECEASED (MOTHER) AND CAUSE OF DEATH FOR MEDICALLY CERTIFIED DEATHS (URBAN)</t>
  </si>
  <si>
    <t>ADMINISTRATIVE, EXECUTIVE AND MANAGERIAL WORKERS</t>
  </si>
  <si>
    <t>FARMERS,FISHERMEN,HUNTERS etc</t>
  </si>
  <si>
    <t>INFANT DEATHS BY PLACE OF OCCURRENCE, DISTRICTS (URBAN)</t>
  </si>
  <si>
    <t>INFANT DEATHS BY PLACE OF OCCURRENCE, DISTRICTS (RURAL)</t>
  </si>
  <si>
    <t>MCD</t>
  </si>
  <si>
    <t>TABLE: D-12</t>
  </si>
  <si>
    <t>TABLE:  D-13</t>
  </si>
  <si>
    <t>TABLE : D-17</t>
  </si>
  <si>
    <t>TABLE : D-18</t>
  </si>
  <si>
    <t>TABLE: D-19</t>
  </si>
  <si>
    <t>TABLE: D-20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</si>
</sst>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2" fillId="0" borderId="1" xfId="0" quotePrefix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opLeftCell="A10" workbookViewId="0">
      <selection activeCell="A11" sqref="A11:N11"/>
    </sheetView>
  </sheetViews>
  <sheetFormatPr defaultColWidth="9.1328125" defaultRowHeight="21" x14ac:dyDescent="0.65"/>
  <cols>
    <col min="1" max="1" width="6.3984375" style="6" customWidth="1"/>
    <col min="2" max="2" width="17.73046875" style="5" customWidth="1"/>
    <col min="3" max="13" width="11" style="5" customWidth="1"/>
    <col min="14" max="14" width="12.1328125" style="5" customWidth="1"/>
    <col min="15" max="16384" width="9.1328125" style="5"/>
  </cols>
  <sheetData>
    <row r="1" spans="1:19" ht="24.75" customHeight="1" x14ac:dyDescent="0.65">
      <c r="A1" s="29" t="s">
        <v>62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9" ht="24.75" customHeight="1" x14ac:dyDescent="0.65">
      <c r="A2" s="29" t="s">
        <v>59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9" s="6" customFormat="1" ht="24.75" customHeight="1" x14ac:dyDescent="0.45">
      <c r="A3" s="30" t="s">
        <v>0</v>
      </c>
      <c r="B3" s="29" t="s">
        <v>1</v>
      </c>
      <c r="C3" s="29" t="s">
        <v>7</v>
      </c>
      <c r="D3" s="29"/>
      <c r="E3" s="29"/>
      <c r="F3" s="29"/>
      <c r="G3" s="29" t="s">
        <v>5</v>
      </c>
      <c r="H3" s="29"/>
      <c r="I3" s="29"/>
      <c r="J3" s="29"/>
      <c r="K3" s="29" t="s">
        <v>6</v>
      </c>
      <c r="L3" s="29"/>
      <c r="M3" s="29"/>
      <c r="N3" s="29"/>
    </row>
    <row r="4" spans="1:19" s="6" customFormat="1" ht="27.75" customHeight="1" x14ac:dyDescent="0.45">
      <c r="A4" s="30"/>
      <c r="B4" s="29"/>
      <c r="C4" s="7" t="s">
        <v>9</v>
      </c>
      <c r="D4" s="7" t="s">
        <v>10</v>
      </c>
      <c r="E4" s="7" t="s">
        <v>52</v>
      </c>
      <c r="F4" s="7" t="s">
        <v>4</v>
      </c>
      <c r="G4" s="7" t="s">
        <v>9</v>
      </c>
      <c r="H4" s="7" t="s">
        <v>10</v>
      </c>
      <c r="I4" s="7" t="s">
        <v>52</v>
      </c>
      <c r="J4" s="7" t="s">
        <v>4</v>
      </c>
      <c r="K4" s="7" t="s">
        <v>9</v>
      </c>
      <c r="L4" s="7" t="s">
        <v>10</v>
      </c>
      <c r="M4" s="7" t="s">
        <v>52</v>
      </c>
      <c r="N4" s="7" t="s">
        <v>4</v>
      </c>
    </row>
    <row r="5" spans="1:19" ht="31.5" customHeight="1" x14ac:dyDescent="0.65">
      <c r="A5" s="3">
        <v>1</v>
      </c>
      <c r="B5" s="3" t="s">
        <v>61</v>
      </c>
      <c r="C5" s="3">
        <v>2241</v>
      </c>
      <c r="D5" s="3">
        <v>1624</v>
      </c>
      <c r="E5" s="3">
        <v>6</v>
      </c>
      <c r="F5" s="3">
        <f>SUM(C5:E5)</f>
        <v>3871</v>
      </c>
      <c r="G5" s="3">
        <v>14</v>
      </c>
      <c r="H5" s="3">
        <v>20</v>
      </c>
      <c r="I5" s="3">
        <v>0</v>
      </c>
      <c r="J5" s="3">
        <f>SUM(G5:I5)</f>
        <v>34</v>
      </c>
      <c r="K5" s="3">
        <f>C5+G5</f>
        <v>2255</v>
      </c>
      <c r="L5" s="3">
        <f t="shared" ref="L5:M7" si="0">D5+H5</f>
        <v>1644</v>
      </c>
      <c r="M5" s="3">
        <f t="shared" si="0"/>
        <v>6</v>
      </c>
      <c r="N5" s="3">
        <f t="shared" ref="N5:N8" si="1">SUM(K5:M5)</f>
        <v>3905</v>
      </c>
      <c r="S5" s="5" t="s">
        <v>11</v>
      </c>
    </row>
    <row r="6" spans="1:19" ht="27.75" customHeight="1" x14ac:dyDescent="0.65">
      <c r="A6" s="3">
        <v>2</v>
      </c>
      <c r="B6" s="3" t="s">
        <v>19</v>
      </c>
      <c r="C6" s="3">
        <v>703</v>
      </c>
      <c r="D6" s="3">
        <v>542</v>
      </c>
      <c r="E6" s="3">
        <v>1</v>
      </c>
      <c r="F6" s="3">
        <f t="shared" ref="F6:F7" si="2">SUM(C6:E6)</f>
        <v>1246</v>
      </c>
      <c r="G6" s="3">
        <v>0</v>
      </c>
      <c r="H6" s="3">
        <v>0</v>
      </c>
      <c r="I6" s="3">
        <v>0</v>
      </c>
      <c r="J6" s="3">
        <f t="shared" ref="J6:J7" si="3">SUM(G6:I6)</f>
        <v>0</v>
      </c>
      <c r="K6" s="3">
        <f t="shared" ref="K6:K7" si="4">C6+G6</f>
        <v>703</v>
      </c>
      <c r="L6" s="3">
        <f t="shared" si="0"/>
        <v>542</v>
      </c>
      <c r="M6" s="3">
        <f t="shared" si="0"/>
        <v>1</v>
      </c>
      <c r="N6" s="3">
        <f t="shared" si="1"/>
        <v>1246</v>
      </c>
    </row>
    <row r="7" spans="1:19" ht="25.5" customHeight="1" x14ac:dyDescent="0.65">
      <c r="A7" s="3">
        <v>3</v>
      </c>
      <c r="B7" s="3" t="s">
        <v>8</v>
      </c>
      <c r="C7" s="3">
        <v>51</v>
      </c>
      <c r="D7" s="3">
        <v>23</v>
      </c>
      <c r="E7" s="3">
        <v>0</v>
      </c>
      <c r="F7" s="3">
        <f t="shared" si="2"/>
        <v>74</v>
      </c>
      <c r="G7" s="3">
        <v>0</v>
      </c>
      <c r="H7" s="3">
        <v>0</v>
      </c>
      <c r="I7" s="3">
        <v>0</v>
      </c>
      <c r="J7" s="3">
        <f t="shared" si="3"/>
        <v>0</v>
      </c>
      <c r="K7" s="3">
        <f t="shared" si="4"/>
        <v>51</v>
      </c>
      <c r="L7" s="3">
        <f t="shared" si="0"/>
        <v>23</v>
      </c>
      <c r="M7" s="3">
        <f t="shared" si="0"/>
        <v>0</v>
      </c>
      <c r="N7" s="3">
        <f t="shared" si="1"/>
        <v>74</v>
      </c>
    </row>
    <row r="8" spans="1:19" ht="24.75" customHeight="1" x14ac:dyDescent="0.65">
      <c r="A8" s="3"/>
      <c r="B8" s="7" t="s">
        <v>6</v>
      </c>
      <c r="C8" s="7">
        <f t="shared" ref="C8:I8" si="5">SUM(C5:C7)</f>
        <v>2995</v>
      </c>
      <c r="D8" s="7">
        <f t="shared" si="5"/>
        <v>2189</v>
      </c>
      <c r="E8" s="7">
        <f t="shared" si="5"/>
        <v>7</v>
      </c>
      <c r="F8" s="7">
        <f t="shared" si="5"/>
        <v>5191</v>
      </c>
      <c r="G8" s="7">
        <f t="shared" si="5"/>
        <v>14</v>
      </c>
      <c r="H8" s="7">
        <f t="shared" si="5"/>
        <v>20</v>
      </c>
      <c r="I8" s="7">
        <f t="shared" si="5"/>
        <v>0</v>
      </c>
      <c r="J8" s="3">
        <f t="shared" ref="J8" si="6">SUM(G8:I8)</f>
        <v>34</v>
      </c>
      <c r="K8" s="7">
        <f>SUM(K5:K7)</f>
        <v>3009</v>
      </c>
      <c r="L8" s="7">
        <f>SUM(L5:L7)</f>
        <v>2209</v>
      </c>
      <c r="M8" s="7">
        <f>SUM(M5:M7)</f>
        <v>7</v>
      </c>
      <c r="N8" s="7">
        <f t="shared" si="1"/>
        <v>5225</v>
      </c>
    </row>
    <row r="9" spans="1:19" ht="30.75" customHeight="1" x14ac:dyDescent="0.65">
      <c r="B9" s="8"/>
      <c r="C9" s="8"/>
      <c r="D9" s="8"/>
      <c r="E9" s="8"/>
      <c r="F9" s="8"/>
      <c r="G9" s="8"/>
      <c r="H9" s="8"/>
      <c r="I9" s="8"/>
      <c r="J9" s="6"/>
      <c r="K9" s="8"/>
      <c r="L9" s="8"/>
      <c r="M9" s="8"/>
      <c r="N9" s="8"/>
    </row>
    <row r="11" spans="1:19" ht="24.75" customHeight="1" x14ac:dyDescent="0.65">
      <c r="A11" s="29" t="s">
        <v>63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9" ht="30" customHeight="1" x14ac:dyDescent="0.65">
      <c r="A12" s="29" t="s">
        <v>60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spans="1:19" s="6" customFormat="1" ht="24.75" customHeight="1" x14ac:dyDescent="0.45">
      <c r="A13" s="30" t="s">
        <v>0</v>
      </c>
      <c r="B13" s="29" t="s">
        <v>1</v>
      </c>
      <c r="C13" s="29" t="s">
        <v>7</v>
      </c>
      <c r="D13" s="29"/>
      <c r="E13" s="29"/>
      <c r="F13" s="29"/>
      <c r="G13" s="29" t="s">
        <v>5</v>
      </c>
      <c r="H13" s="29"/>
      <c r="I13" s="29"/>
      <c r="J13" s="29"/>
      <c r="K13" s="29" t="s">
        <v>6</v>
      </c>
      <c r="L13" s="29"/>
      <c r="M13" s="29"/>
      <c r="N13" s="29"/>
    </row>
    <row r="14" spans="1:19" s="6" customFormat="1" ht="24.75" customHeight="1" x14ac:dyDescent="0.45">
      <c r="A14" s="30"/>
      <c r="B14" s="29"/>
      <c r="C14" s="7" t="s">
        <v>9</v>
      </c>
      <c r="D14" s="7" t="s">
        <v>10</v>
      </c>
      <c r="E14" s="7" t="s">
        <v>52</v>
      </c>
      <c r="F14" s="7" t="s">
        <v>4</v>
      </c>
      <c r="G14" s="7" t="s">
        <v>9</v>
      </c>
      <c r="H14" s="7" t="s">
        <v>10</v>
      </c>
      <c r="I14" s="7" t="s">
        <v>52</v>
      </c>
      <c r="J14" s="7" t="s">
        <v>4</v>
      </c>
      <c r="K14" s="7" t="s">
        <v>9</v>
      </c>
      <c r="L14" s="7" t="s">
        <v>10</v>
      </c>
      <c r="M14" s="7" t="s">
        <v>52</v>
      </c>
      <c r="N14" s="7" t="s">
        <v>4</v>
      </c>
    </row>
    <row r="15" spans="1:19" ht="27" customHeight="1" x14ac:dyDescent="0.65">
      <c r="A15" s="3">
        <v>1</v>
      </c>
      <c r="B15" s="3" t="s">
        <v>61</v>
      </c>
      <c r="C15" s="3">
        <v>296</v>
      </c>
      <c r="D15" s="3">
        <v>185</v>
      </c>
      <c r="E15" s="3">
        <v>0</v>
      </c>
      <c r="F15" s="3">
        <f>SUM(C15:E15)</f>
        <v>481</v>
      </c>
      <c r="G15" s="3">
        <v>1</v>
      </c>
      <c r="H15" s="3">
        <v>1</v>
      </c>
      <c r="I15" s="3">
        <v>0</v>
      </c>
      <c r="J15" s="3">
        <f>SUM(G15:I15)</f>
        <v>2</v>
      </c>
      <c r="K15" s="3">
        <f>C15+G15</f>
        <v>297</v>
      </c>
      <c r="L15" s="3">
        <f t="shared" ref="L15:M17" si="7">D15+H15</f>
        <v>186</v>
      </c>
      <c r="M15" s="3">
        <f t="shared" si="7"/>
        <v>0</v>
      </c>
      <c r="N15" s="3">
        <f>SUM(K15:M15)</f>
        <v>483</v>
      </c>
    </row>
    <row r="16" spans="1:19" ht="27.75" customHeight="1" x14ac:dyDescent="0.65">
      <c r="A16" s="3">
        <v>2</v>
      </c>
      <c r="B16" s="3" t="s">
        <v>19</v>
      </c>
      <c r="C16" s="3">
        <v>726</v>
      </c>
      <c r="D16" s="3">
        <v>430</v>
      </c>
      <c r="E16" s="3">
        <v>2</v>
      </c>
      <c r="F16" s="3">
        <f t="shared" ref="F16:F17" si="8">SUM(C16:E16)</f>
        <v>1158</v>
      </c>
      <c r="G16" s="3">
        <v>0</v>
      </c>
      <c r="H16" s="3">
        <v>0</v>
      </c>
      <c r="I16" s="3">
        <v>0</v>
      </c>
      <c r="J16" s="3">
        <f t="shared" ref="J16:J17" si="9">SUM(G16:I16)</f>
        <v>0</v>
      </c>
      <c r="K16" s="3">
        <f t="shared" ref="K16:K17" si="10">C16+G16</f>
        <v>726</v>
      </c>
      <c r="L16" s="3">
        <f t="shared" si="7"/>
        <v>430</v>
      </c>
      <c r="M16" s="3">
        <f t="shared" si="7"/>
        <v>2</v>
      </c>
      <c r="N16" s="3">
        <f>SUM(K16:M16)</f>
        <v>1158</v>
      </c>
    </row>
    <row r="17" spans="1:14" ht="27.75" customHeight="1" x14ac:dyDescent="0.65">
      <c r="A17" s="3">
        <v>3</v>
      </c>
      <c r="B17" s="3" t="s">
        <v>8</v>
      </c>
      <c r="C17" s="3">
        <v>0</v>
      </c>
      <c r="D17" s="3">
        <v>0</v>
      </c>
      <c r="E17" s="3">
        <v>0</v>
      </c>
      <c r="F17" s="3">
        <f t="shared" si="8"/>
        <v>0</v>
      </c>
      <c r="G17" s="3">
        <v>0</v>
      </c>
      <c r="H17" s="3">
        <v>0</v>
      </c>
      <c r="I17" s="3">
        <v>0</v>
      </c>
      <c r="J17" s="3">
        <f t="shared" si="9"/>
        <v>0</v>
      </c>
      <c r="K17" s="3">
        <f t="shared" si="10"/>
        <v>0</v>
      </c>
      <c r="L17" s="3">
        <f t="shared" si="7"/>
        <v>0</v>
      </c>
      <c r="M17" s="3">
        <f t="shared" si="7"/>
        <v>0</v>
      </c>
      <c r="N17" s="3">
        <f>SUM(K17:M17)</f>
        <v>0</v>
      </c>
    </row>
    <row r="18" spans="1:14" ht="27.75" customHeight="1" x14ac:dyDescent="0.65">
      <c r="A18" s="3"/>
      <c r="B18" s="7" t="s">
        <v>6</v>
      </c>
      <c r="C18" s="7">
        <f t="shared" ref="C18:N18" si="11">SUM(C15:C17)</f>
        <v>1022</v>
      </c>
      <c r="D18" s="7">
        <f t="shared" si="11"/>
        <v>615</v>
      </c>
      <c r="E18" s="7">
        <f t="shared" si="11"/>
        <v>2</v>
      </c>
      <c r="F18" s="7">
        <f t="shared" si="11"/>
        <v>1639</v>
      </c>
      <c r="G18" s="7">
        <f t="shared" si="11"/>
        <v>1</v>
      </c>
      <c r="H18" s="7">
        <f t="shared" si="11"/>
        <v>1</v>
      </c>
      <c r="I18" s="7">
        <f t="shared" si="11"/>
        <v>0</v>
      </c>
      <c r="J18" s="7">
        <f t="shared" si="11"/>
        <v>2</v>
      </c>
      <c r="K18" s="7">
        <f t="shared" si="11"/>
        <v>1023</v>
      </c>
      <c r="L18" s="7">
        <f t="shared" si="11"/>
        <v>616</v>
      </c>
      <c r="M18" s="7">
        <f t="shared" si="11"/>
        <v>2</v>
      </c>
      <c r="N18" s="7">
        <f t="shared" si="11"/>
        <v>1641</v>
      </c>
    </row>
    <row r="22" spans="1:14" x14ac:dyDescent="0.65">
      <c r="F22" s="5" t="s">
        <v>11</v>
      </c>
    </row>
  </sheetData>
  <mergeCells count="14">
    <mergeCell ref="A11:N11"/>
    <mergeCell ref="A12:N12"/>
    <mergeCell ref="A13:A14"/>
    <mergeCell ref="B13:B14"/>
    <mergeCell ref="C13:F13"/>
    <mergeCell ref="G13:J13"/>
    <mergeCell ref="K13:N13"/>
    <mergeCell ref="A1:N1"/>
    <mergeCell ref="A2:N2"/>
    <mergeCell ref="A3:A4"/>
    <mergeCell ref="B3:B4"/>
    <mergeCell ref="C3:F3"/>
    <mergeCell ref="G3:J3"/>
    <mergeCell ref="K3:N3"/>
  </mergeCells>
  <pageMargins left="0.55000000000000004" right="0.65" top="0.59055118110236204" bottom="0.59055118110236204" header="0.31496062992126" footer="0.511811023622047"/>
  <pageSetup paperSize="9" scale="85" orientation="landscape" r:id="rId1"/>
  <headerFooter>
    <oddFooter>&amp;C109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>
      <selection activeCell="M7" sqref="M7"/>
    </sheetView>
  </sheetViews>
  <sheetFormatPr defaultColWidth="9.1328125" defaultRowHeight="21" x14ac:dyDescent="0.65"/>
  <cols>
    <col min="1" max="1" width="8.86328125" style="12" customWidth="1"/>
    <col min="2" max="2" width="26" style="12" customWidth="1"/>
    <col min="3" max="14" width="10.3984375" style="12" customWidth="1"/>
    <col min="15" max="16384" width="9.1328125" style="12"/>
  </cols>
  <sheetData>
    <row r="1" spans="1:14" ht="36" customHeight="1" x14ac:dyDescent="0.65">
      <c r="A1" s="29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36" customHeight="1" x14ac:dyDescent="0.65">
      <c r="A2" s="29" t="s">
        <v>21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36" customHeight="1" x14ac:dyDescent="0.65">
      <c r="A3" s="31" t="s">
        <v>0</v>
      </c>
      <c r="B3" s="29" t="s">
        <v>13</v>
      </c>
      <c r="C3" s="29" t="s">
        <v>2</v>
      </c>
      <c r="D3" s="29"/>
      <c r="E3" s="29"/>
      <c r="F3" s="29"/>
      <c r="G3" s="29" t="s">
        <v>3</v>
      </c>
      <c r="H3" s="29"/>
      <c r="I3" s="29"/>
      <c r="J3" s="29"/>
      <c r="K3" s="29" t="s">
        <v>6</v>
      </c>
      <c r="L3" s="29"/>
      <c r="M3" s="29"/>
      <c r="N3" s="29"/>
    </row>
    <row r="4" spans="1:14" ht="36" customHeight="1" x14ac:dyDescent="0.65">
      <c r="A4" s="32"/>
      <c r="B4" s="29"/>
      <c r="C4" s="7" t="s">
        <v>9</v>
      </c>
      <c r="D4" s="7" t="s">
        <v>10</v>
      </c>
      <c r="E4" s="7" t="s">
        <v>52</v>
      </c>
      <c r="F4" s="7" t="s">
        <v>6</v>
      </c>
      <c r="G4" s="7" t="s">
        <v>9</v>
      </c>
      <c r="H4" s="7" t="s">
        <v>10</v>
      </c>
      <c r="I4" s="7" t="s">
        <v>52</v>
      </c>
      <c r="J4" s="7" t="s">
        <v>22</v>
      </c>
      <c r="K4" s="7" t="s">
        <v>9</v>
      </c>
      <c r="L4" s="7" t="s">
        <v>10</v>
      </c>
      <c r="M4" s="7" t="s">
        <v>52</v>
      </c>
      <c r="N4" s="7" t="s">
        <v>6</v>
      </c>
    </row>
    <row r="5" spans="1:14" ht="60" customHeight="1" x14ac:dyDescent="0.65">
      <c r="A5" s="3">
        <v>1</v>
      </c>
      <c r="B5" s="3" t="s">
        <v>23</v>
      </c>
      <c r="C5" s="3">
        <v>1507</v>
      </c>
      <c r="D5" s="3">
        <v>1056</v>
      </c>
      <c r="E5" s="3">
        <v>7</v>
      </c>
      <c r="F5" s="3">
        <f>SUM(C5:E5)</f>
        <v>2570</v>
      </c>
      <c r="G5" s="3">
        <v>394</v>
      </c>
      <c r="H5" s="3">
        <v>238</v>
      </c>
      <c r="I5" s="3">
        <v>1</v>
      </c>
      <c r="J5" s="3">
        <f>SUM(G5:I5)</f>
        <v>633</v>
      </c>
      <c r="K5" s="3">
        <v>1901</v>
      </c>
      <c r="L5" s="3">
        <v>1294</v>
      </c>
      <c r="M5" s="3">
        <v>8</v>
      </c>
      <c r="N5" s="3">
        <f>SUM(K5:M5)</f>
        <v>3203</v>
      </c>
    </row>
    <row r="6" spans="1:14" ht="60" customHeight="1" x14ac:dyDescent="0.65">
      <c r="A6" s="3">
        <v>2</v>
      </c>
      <c r="B6" s="3" t="s">
        <v>24</v>
      </c>
      <c r="C6" s="3">
        <v>521</v>
      </c>
      <c r="D6" s="3">
        <v>377</v>
      </c>
      <c r="E6" s="3">
        <v>0</v>
      </c>
      <c r="F6" s="3">
        <f t="shared" ref="F6:F7" si="0">SUM(C6:E6)</f>
        <v>898</v>
      </c>
      <c r="G6" s="3">
        <v>145</v>
      </c>
      <c r="H6" s="3">
        <v>83</v>
      </c>
      <c r="I6" s="3">
        <v>0</v>
      </c>
      <c r="J6" s="3">
        <f t="shared" ref="J6:J7" si="1">SUM(G6:I6)</f>
        <v>228</v>
      </c>
      <c r="K6" s="3">
        <v>666</v>
      </c>
      <c r="L6" s="3">
        <v>460</v>
      </c>
      <c r="M6" s="3">
        <v>0</v>
      </c>
      <c r="N6" s="3">
        <f>SUM(K6:M6)</f>
        <v>1126</v>
      </c>
    </row>
    <row r="7" spans="1:14" ht="63" customHeight="1" x14ac:dyDescent="0.65">
      <c r="A7" s="3">
        <v>3</v>
      </c>
      <c r="B7" s="3" t="s">
        <v>25</v>
      </c>
      <c r="C7" s="3">
        <v>981</v>
      </c>
      <c r="D7" s="3">
        <v>776</v>
      </c>
      <c r="E7" s="3">
        <v>0</v>
      </c>
      <c r="F7" s="3">
        <f t="shared" si="0"/>
        <v>1757</v>
      </c>
      <c r="G7" s="3">
        <v>484</v>
      </c>
      <c r="H7" s="3">
        <v>295</v>
      </c>
      <c r="I7" s="3">
        <v>1</v>
      </c>
      <c r="J7" s="3">
        <f t="shared" si="1"/>
        <v>780</v>
      </c>
      <c r="K7" s="3">
        <v>1465</v>
      </c>
      <c r="L7" s="3">
        <v>1071</v>
      </c>
      <c r="M7" s="3">
        <v>1</v>
      </c>
      <c r="N7" s="3">
        <f>SUM(K7:M7)</f>
        <v>2537</v>
      </c>
    </row>
    <row r="8" spans="1:14" ht="56.25" customHeight="1" x14ac:dyDescent="0.65">
      <c r="A8" s="3"/>
      <c r="B8" s="7" t="s">
        <v>6</v>
      </c>
      <c r="C8" s="7">
        <f>SUM(C5:C7)</f>
        <v>3009</v>
      </c>
      <c r="D8" s="7">
        <f t="shared" ref="D8:N8" si="2">SUM(D5:D7)</f>
        <v>2209</v>
      </c>
      <c r="E8" s="7">
        <f t="shared" si="2"/>
        <v>7</v>
      </c>
      <c r="F8" s="7">
        <f t="shared" si="2"/>
        <v>5225</v>
      </c>
      <c r="G8" s="7">
        <f t="shared" si="2"/>
        <v>1023</v>
      </c>
      <c r="H8" s="7">
        <f t="shared" si="2"/>
        <v>616</v>
      </c>
      <c r="I8" s="7">
        <f t="shared" si="2"/>
        <v>2</v>
      </c>
      <c r="J8" s="7">
        <f t="shared" si="2"/>
        <v>1641</v>
      </c>
      <c r="K8" s="7">
        <f t="shared" si="2"/>
        <v>4032</v>
      </c>
      <c r="L8" s="7">
        <f t="shared" si="2"/>
        <v>2825</v>
      </c>
      <c r="M8" s="7">
        <f t="shared" si="2"/>
        <v>9</v>
      </c>
      <c r="N8" s="7">
        <f t="shared" si="2"/>
        <v>6866</v>
      </c>
    </row>
  </sheetData>
  <mergeCells count="7">
    <mergeCell ref="A1:N1"/>
    <mergeCell ref="A2:N2"/>
    <mergeCell ref="A3:A4"/>
    <mergeCell ref="B3:B4"/>
    <mergeCell ref="C3:F3"/>
    <mergeCell ref="G3:J3"/>
    <mergeCell ref="K3:N3"/>
  </mergeCells>
  <printOptions horizontalCentered="1"/>
  <pageMargins left="0.77" right="0.76" top="0.78740157480314998" bottom="0.62992125984252001" header="0.31496062992126" footer="0.66929133858267698"/>
  <pageSetup paperSize="9" scale="80" orientation="landscape" r:id="rId1"/>
  <headerFooter>
    <oddFooter>&amp;C110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zoomScaleNormal="100" workbookViewId="0">
      <selection activeCell="A11" sqref="A11:L11"/>
    </sheetView>
  </sheetViews>
  <sheetFormatPr defaultColWidth="9.1328125" defaultRowHeight="14.25" x14ac:dyDescent="0.45"/>
  <cols>
    <col min="1" max="1" width="5.73046875" style="13" customWidth="1"/>
    <col min="2" max="2" width="12.3984375" style="13" customWidth="1"/>
    <col min="3" max="3" width="38" style="13" customWidth="1"/>
    <col min="4" max="10" width="9.1328125" style="13"/>
    <col min="11" max="11" width="10.3984375" style="13" customWidth="1"/>
    <col min="12" max="13" width="9.1328125" style="13"/>
    <col min="14" max="14" width="11.59765625" style="13" bestFit="1" customWidth="1"/>
    <col min="15" max="16384" width="9.1328125" style="13"/>
  </cols>
  <sheetData>
    <row r="1" spans="1:25" ht="26.25" customHeight="1" x14ac:dyDescent="0.45">
      <c r="A1" s="33" t="s">
        <v>54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</row>
    <row r="2" spans="1:25" ht="36" customHeight="1" x14ac:dyDescent="0.45">
      <c r="A2" s="33" t="s">
        <v>56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9.5" customHeight="1" x14ac:dyDescent="0.45">
      <c r="A3" s="36" t="s">
        <v>0</v>
      </c>
      <c r="B3" s="36" t="s">
        <v>39</v>
      </c>
      <c r="C3" s="36" t="s">
        <v>38</v>
      </c>
      <c r="D3" s="38" t="s">
        <v>37</v>
      </c>
      <c r="E3" s="39"/>
      <c r="F3" s="39"/>
      <c r="G3" s="39"/>
      <c r="H3" s="39"/>
      <c r="I3" s="39"/>
      <c r="J3" s="39"/>
      <c r="K3" s="40"/>
      <c r="L3" s="36" t="s">
        <v>6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36" x14ac:dyDescent="0.45">
      <c r="A4" s="37"/>
      <c r="B4" s="37"/>
      <c r="C4" s="37"/>
      <c r="D4" s="11" t="s">
        <v>36</v>
      </c>
      <c r="E4" s="11" t="s">
        <v>35</v>
      </c>
      <c r="F4" s="11" t="s">
        <v>34</v>
      </c>
      <c r="G4" s="11" t="s">
        <v>33</v>
      </c>
      <c r="H4" s="11" t="s">
        <v>32</v>
      </c>
      <c r="I4" s="11" t="s">
        <v>31</v>
      </c>
      <c r="J4" s="11" t="s">
        <v>30</v>
      </c>
      <c r="K4" s="11" t="s">
        <v>47</v>
      </c>
      <c r="L4" s="3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36.75" customHeight="1" x14ac:dyDescent="0.45">
      <c r="A5" s="2">
        <v>1</v>
      </c>
      <c r="B5" s="2" t="s">
        <v>53</v>
      </c>
      <c r="C5" s="25" t="s">
        <v>29</v>
      </c>
      <c r="D5" s="3">
        <v>0</v>
      </c>
      <c r="E5" s="3">
        <v>0</v>
      </c>
      <c r="F5" s="3">
        <v>2</v>
      </c>
      <c r="G5" s="3">
        <v>2</v>
      </c>
      <c r="H5" s="3">
        <v>1</v>
      </c>
      <c r="I5" s="3">
        <v>1</v>
      </c>
      <c r="J5" s="3">
        <v>1</v>
      </c>
      <c r="K5" s="3">
        <v>0</v>
      </c>
      <c r="L5" s="3">
        <f>SUM(D5:K5)</f>
        <v>7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37.5" customHeight="1" x14ac:dyDescent="0.45">
      <c r="A6" s="2">
        <v>2</v>
      </c>
      <c r="B6" s="2" t="s">
        <v>28</v>
      </c>
      <c r="C6" s="25" t="s">
        <v>40</v>
      </c>
      <c r="D6" s="3">
        <v>0</v>
      </c>
      <c r="E6" s="3">
        <v>0</v>
      </c>
      <c r="F6" s="3">
        <v>5</v>
      </c>
      <c r="G6" s="3">
        <v>11</v>
      </c>
      <c r="H6" s="3">
        <v>16</v>
      </c>
      <c r="I6" s="3">
        <v>4</v>
      </c>
      <c r="J6" s="3">
        <v>0</v>
      </c>
      <c r="K6" s="3">
        <v>1</v>
      </c>
      <c r="L6" s="3">
        <f>SUM(D6:K6)</f>
        <v>37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40.5" customHeight="1" x14ac:dyDescent="0.45">
      <c r="A7" s="2">
        <v>3</v>
      </c>
      <c r="B7" s="2" t="s">
        <v>27</v>
      </c>
      <c r="C7" s="25" t="s">
        <v>48</v>
      </c>
      <c r="D7" s="3">
        <v>0</v>
      </c>
      <c r="E7" s="3">
        <v>0</v>
      </c>
      <c r="F7" s="3">
        <v>1</v>
      </c>
      <c r="G7" s="3">
        <v>5</v>
      </c>
      <c r="H7" s="3">
        <v>4</v>
      </c>
      <c r="I7" s="3">
        <v>4</v>
      </c>
      <c r="J7" s="3">
        <v>0</v>
      </c>
      <c r="K7" s="3">
        <v>0</v>
      </c>
      <c r="L7" s="3">
        <f>SUM(D7:K7)</f>
        <v>14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30.75" customHeight="1" x14ac:dyDescent="0.45">
      <c r="A8" s="2"/>
      <c r="B8" s="2"/>
      <c r="C8" s="11" t="s">
        <v>6</v>
      </c>
      <c r="D8" s="7">
        <f>SUM(D5:D7)</f>
        <v>0</v>
      </c>
      <c r="E8" s="7">
        <f t="shared" ref="E8:L8" si="0">SUM(E5:E7)</f>
        <v>0</v>
      </c>
      <c r="F8" s="7">
        <f t="shared" si="0"/>
        <v>8</v>
      </c>
      <c r="G8" s="7">
        <f t="shared" si="0"/>
        <v>18</v>
      </c>
      <c r="H8" s="7">
        <f t="shared" si="0"/>
        <v>21</v>
      </c>
      <c r="I8" s="7">
        <f t="shared" si="0"/>
        <v>9</v>
      </c>
      <c r="J8" s="7">
        <f t="shared" si="0"/>
        <v>1</v>
      </c>
      <c r="K8" s="7">
        <f t="shared" si="0"/>
        <v>1</v>
      </c>
      <c r="L8" s="7">
        <f t="shared" si="0"/>
        <v>58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8" x14ac:dyDescent="0.4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8" x14ac:dyDescent="0.4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26.25" customHeight="1" x14ac:dyDescent="0.45">
      <c r="A11" s="38" t="s">
        <v>49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39.75" customHeight="1" x14ac:dyDescent="0.45">
      <c r="A12" s="38" t="s">
        <v>55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9.5" customHeight="1" x14ac:dyDescent="0.45">
      <c r="A13" s="36" t="s">
        <v>0</v>
      </c>
      <c r="B13" s="36" t="s">
        <v>39</v>
      </c>
      <c r="C13" s="36" t="s">
        <v>38</v>
      </c>
      <c r="D13" s="38" t="s">
        <v>37</v>
      </c>
      <c r="E13" s="39"/>
      <c r="F13" s="39"/>
      <c r="G13" s="39"/>
      <c r="H13" s="39"/>
      <c r="I13" s="39"/>
      <c r="J13" s="39"/>
      <c r="K13" s="40"/>
      <c r="L13" s="36" t="s">
        <v>6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36" x14ac:dyDescent="0.45">
      <c r="A14" s="37"/>
      <c r="B14" s="37"/>
      <c r="C14" s="37"/>
      <c r="D14" s="11" t="s">
        <v>36</v>
      </c>
      <c r="E14" s="11" t="s">
        <v>35</v>
      </c>
      <c r="F14" s="11" t="s">
        <v>34</v>
      </c>
      <c r="G14" s="11" t="s">
        <v>33</v>
      </c>
      <c r="H14" s="11" t="s">
        <v>32</v>
      </c>
      <c r="I14" s="11" t="s">
        <v>31</v>
      </c>
      <c r="J14" s="11" t="s">
        <v>30</v>
      </c>
      <c r="K14" s="11" t="s">
        <v>47</v>
      </c>
      <c r="L14" s="37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37.5" customHeight="1" x14ac:dyDescent="0.45">
      <c r="A15" s="2">
        <v>1</v>
      </c>
      <c r="B15" s="2" t="s">
        <v>53</v>
      </c>
      <c r="C15" s="25" t="s">
        <v>29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1">
        <f>SUM(D15:K15)</f>
        <v>1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30.75" customHeight="1" x14ac:dyDescent="0.45">
      <c r="A16" s="2">
        <v>2</v>
      </c>
      <c r="B16" s="2" t="s">
        <v>28</v>
      </c>
      <c r="C16" s="25" t="s">
        <v>40</v>
      </c>
      <c r="D16" s="3">
        <v>0</v>
      </c>
      <c r="E16" s="3">
        <v>1</v>
      </c>
      <c r="F16" s="3">
        <v>4</v>
      </c>
      <c r="G16" s="3">
        <v>8</v>
      </c>
      <c r="H16" s="3">
        <v>6</v>
      </c>
      <c r="I16" s="3">
        <v>2</v>
      </c>
      <c r="J16" s="3">
        <v>0</v>
      </c>
      <c r="K16" s="3">
        <v>1</v>
      </c>
      <c r="L16" s="1">
        <f>SUM(D16:K16)</f>
        <v>22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37.5" customHeight="1" x14ac:dyDescent="0.45">
      <c r="A17" s="2">
        <v>3</v>
      </c>
      <c r="B17" s="2" t="s">
        <v>27</v>
      </c>
      <c r="C17" s="25" t="s">
        <v>48</v>
      </c>
      <c r="D17" s="3">
        <v>0</v>
      </c>
      <c r="E17" s="3">
        <v>0</v>
      </c>
      <c r="F17" s="3">
        <v>11</v>
      </c>
      <c r="G17" s="3">
        <v>14</v>
      </c>
      <c r="H17" s="3">
        <v>6</v>
      </c>
      <c r="I17" s="3">
        <v>1</v>
      </c>
      <c r="J17" s="3">
        <v>0</v>
      </c>
      <c r="K17" s="3">
        <v>0</v>
      </c>
      <c r="L17" s="1">
        <f>SUM(D17:K17)</f>
        <v>32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30.75" customHeight="1" x14ac:dyDescent="0.45">
      <c r="A18" s="2"/>
      <c r="B18" s="2"/>
      <c r="C18" s="11" t="s">
        <v>6</v>
      </c>
      <c r="D18" s="9">
        <f>SUM(D15:D17)</f>
        <v>0</v>
      </c>
      <c r="E18" s="9">
        <f t="shared" ref="E18:L18" si="1">SUM(E15:E17)</f>
        <v>1</v>
      </c>
      <c r="F18" s="9">
        <f t="shared" si="1"/>
        <v>15</v>
      </c>
      <c r="G18" s="9">
        <f t="shared" si="1"/>
        <v>23</v>
      </c>
      <c r="H18" s="9">
        <f t="shared" si="1"/>
        <v>12</v>
      </c>
      <c r="I18" s="9">
        <f t="shared" si="1"/>
        <v>3</v>
      </c>
      <c r="J18" s="9">
        <f t="shared" si="1"/>
        <v>0</v>
      </c>
      <c r="K18" s="9">
        <f t="shared" si="1"/>
        <v>1</v>
      </c>
      <c r="L18" s="9">
        <f t="shared" si="1"/>
        <v>55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x14ac:dyDescent="0.45"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x14ac:dyDescent="0.45"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x14ac:dyDescent="0.45"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</sheetData>
  <mergeCells count="14">
    <mergeCell ref="A11:L11"/>
    <mergeCell ref="A12:L12"/>
    <mergeCell ref="A13:A14"/>
    <mergeCell ref="B13:B14"/>
    <mergeCell ref="C13:C14"/>
    <mergeCell ref="D13:K13"/>
    <mergeCell ref="L13:L14"/>
    <mergeCell ref="A1:L1"/>
    <mergeCell ref="A3:A4"/>
    <mergeCell ref="B3:B4"/>
    <mergeCell ref="C3:C4"/>
    <mergeCell ref="D3:K3"/>
    <mergeCell ref="L3:L4"/>
    <mergeCell ref="A2:L2"/>
  </mergeCells>
  <pageMargins left="0.84" right="0.62" top="0.74803149606299202" bottom="0.74803149606299202" header="0.31496062992126" footer="0.55118110236220497"/>
  <pageSetup paperSize="9" scale="89" orientation="landscape" r:id="rId1"/>
  <headerFooter>
    <oddFooter>&amp;C111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>
      <selection activeCell="A11" sqref="A11:L11"/>
    </sheetView>
  </sheetViews>
  <sheetFormatPr defaultColWidth="9.1328125" defaultRowHeight="18" x14ac:dyDescent="0.45"/>
  <cols>
    <col min="1" max="1" width="7.265625" style="4" customWidth="1"/>
    <col min="2" max="2" width="10.1328125" style="4" customWidth="1"/>
    <col min="3" max="3" width="36.1328125" style="4" customWidth="1"/>
    <col min="4" max="10" width="9.1328125" style="4"/>
    <col min="11" max="11" width="10.3984375" style="4" customWidth="1"/>
    <col min="12" max="13" width="9.1328125" style="4"/>
    <col min="14" max="14" width="11.59765625" style="4" bestFit="1" customWidth="1"/>
    <col min="15" max="16384" width="9.1328125" style="4"/>
  </cols>
  <sheetData>
    <row r="1" spans="1:25" ht="26.25" customHeight="1" x14ac:dyDescent="0.45">
      <c r="A1" s="38" t="s">
        <v>64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</row>
    <row r="2" spans="1:25" ht="40.5" customHeight="1" x14ac:dyDescent="0.45">
      <c r="A2" s="38" t="s">
        <v>51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4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19.5" customHeight="1" x14ac:dyDescent="0.45">
      <c r="A3" s="36" t="s">
        <v>0</v>
      </c>
      <c r="B3" s="36" t="s">
        <v>39</v>
      </c>
      <c r="C3" s="36" t="s">
        <v>38</v>
      </c>
      <c r="D3" s="38" t="s">
        <v>37</v>
      </c>
      <c r="E3" s="39"/>
      <c r="F3" s="39"/>
      <c r="G3" s="39"/>
      <c r="H3" s="39"/>
      <c r="I3" s="39"/>
      <c r="J3" s="39"/>
      <c r="K3" s="40"/>
      <c r="L3" s="36" t="s">
        <v>6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ht="36" x14ac:dyDescent="0.45">
      <c r="A4" s="37"/>
      <c r="B4" s="37"/>
      <c r="C4" s="37"/>
      <c r="D4" s="11" t="s">
        <v>36</v>
      </c>
      <c r="E4" s="11" t="s">
        <v>35</v>
      </c>
      <c r="F4" s="11" t="s">
        <v>34</v>
      </c>
      <c r="G4" s="11" t="s">
        <v>33</v>
      </c>
      <c r="H4" s="11" t="s">
        <v>32</v>
      </c>
      <c r="I4" s="11" t="s">
        <v>31</v>
      </c>
      <c r="J4" s="11" t="s">
        <v>30</v>
      </c>
      <c r="K4" s="11" t="s">
        <v>47</v>
      </c>
      <c r="L4" s="37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ht="36.75" customHeight="1" x14ac:dyDescent="0.45">
      <c r="A5" s="2">
        <v>1</v>
      </c>
      <c r="B5" s="2" t="s">
        <v>53</v>
      </c>
      <c r="C5" s="25" t="s">
        <v>29</v>
      </c>
      <c r="D5" s="1">
        <v>0</v>
      </c>
      <c r="E5" s="1">
        <v>1</v>
      </c>
      <c r="F5" s="1">
        <v>2</v>
      </c>
      <c r="G5" s="1">
        <v>3</v>
      </c>
      <c r="H5" s="1">
        <v>2</v>
      </c>
      <c r="I5" s="1">
        <v>3</v>
      </c>
      <c r="J5" s="1">
        <v>1</v>
      </c>
      <c r="K5" s="1">
        <v>5</v>
      </c>
      <c r="L5" s="1">
        <f>SUM(D5:K5)</f>
        <v>17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ht="36" customHeight="1" x14ac:dyDescent="0.45">
      <c r="A6" s="2">
        <v>2</v>
      </c>
      <c r="B6" s="2" t="s">
        <v>28</v>
      </c>
      <c r="C6" s="25" t="s">
        <v>40</v>
      </c>
      <c r="D6" s="1">
        <v>0</v>
      </c>
      <c r="E6" s="1">
        <v>0</v>
      </c>
      <c r="F6" s="1">
        <v>6</v>
      </c>
      <c r="G6" s="1">
        <v>11</v>
      </c>
      <c r="H6" s="1">
        <v>16</v>
      </c>
      <c r="I6" s="1">
        <v>4</v>
      </c>
      <c r="J6" s="1">
        <v>1</v>
      </c>
      <c r="K6" s="1">
        <v>2</v>
      </c>
      <c r="L6" s="1">
        <f>SUM(D6:K6)</f>
        <v>40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ht="36" customHeight="1" x14ac:dyDescent="0.45">
      <c r="A7" s="2">
        <v>3</v>
      </c>
      <c r="B7" s="2" t="s">
        <v>27</v>
      </c>
      <c r="C7" s="25" t="s">
        <v>48</v>
      </c>
      <c r="D7" s="1">
        <v>0</v>
      </c>
      <c r="E7" s="1">
        <v>0</v>
      </c>
      <c r="F7" s="1">
        <v>1</v>
      </c>
      <c r="G7" s="1">
        <v>5</v>
      </c>
      <c r="H7" s="1">
        <v>4</v>
      </c>
      <c r="I7" s="1">
        <v>5</v>
      </c>
      <c r="J7" s="1">
        <v>1</v>
      </c>
      <c r="K7" s="1">
        <v>6</v>
      </c>
      <c r="L7" s="1">
        <f>SUM(D7:K7)</f>
        <v>22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ht="30.75" customHeight="1" x14ac:dyDescent="0.45">
      <c r="A8" s="2"/>
      <c r="B8" s="2"/>
      <c r="C8" s="11" t="s">
        <v>6</v>
      </c>
      <c r="D8" s="9">
        <f>SUM(D5:D7)</f>
        <v>0</v>
      </c>
      <c r="E8" s="9">
        <f t="shared" ref="E8:L8" si="0">SUM(E5:E7)</f>
        <v>1</v>
      </c>
      <c r="F8" s="9">
        <f t="shared" si="0"/>
        <v>9</v>
      </c>
      <c r="G8" s="9">
        <f t="shared" si="0"/>
        <v>19</v>
      </c>
      <c r="H8" s="9">
        <f t="shared" si="0"/>
        <v>22</v>
      </c>
      <c r="I8" s="9">
        <f t="shared" si="0"/>
        <v>12</v>
      </c>
      <c r="J8" s="9">
        <f t="shared" si="0"/>
        <v>3</v>
      </c>
      <c r="K8" s="9">
        <f t="shared" si="0"/>
        <v>13</v>
      </c>
      <c r="L8" s="9">
        <f t="shared" si="0"/>
        <v>79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x14ac:dyDescent="0.45"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x14ac:dyDescent="0.45"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ht="26.25" customHeight="1" x14ac:dyDescent="0.45">
      <c r="A11" s="38" t="s">
        <v>65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ht="37.5" customHeight="1" x14ac:dyDescent="0.45">
      <c r="A12" s="38" t="s">
        <v>50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9.5" customHeight="1" x14ac:dyDescent="0.45">
      <c r="A13" s="36" t="s">
        <v>0</v>
      </c>
      <c r="B13" s="36" t="s">
        <v>39</v>
      </c>
      <c r="C13" s="36" t="s">
        <v>38</v>
      </c>
      <c r="D13" s="38" t="s">
        <v>37</v>
      </c>
      <c r="E13" s="39"/>
      <c r="F13" s="39"/>
      <c r="G13" s="39"/>
      <c r="H13" s="39"/>
      <c r="I13" s="39"/>
      <c r="J13" s="39"/>
      <c r="K13" s="40"/>
      <c r="L13" s="36" t="s">
        <v>6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36" x14ac:dyDescent="0.45">
      <c r="A14" s="37"/>
      <c r="B14" s="37"/>
      <c r="C14" s="37"/>
      <c r="D14" s="11" t="s">
        <v>36</v>
      </c>
      <c r="E14" s="11" t="s">
        <v>35</v>
      </c>
      <c r="F14" s="11" t="s">
        <v>34</v>
      </c>
      <c r="G14" s="11" t="s">
        <v>33</v>
      </c>
      <c r="H14" s="11" t="s">
        <v>32</v>
      </c>
      <c r="I14" s="11" t="s">
        <v>31</v>
      </c>
      <c r="J14" s="11" t="s">
        <v>30</v>
      </c>
      <c r="K14" s="11" t="s">
        <v>47</v>
      </c>
      <c r="L14" s="37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ht="36.75" customHeight="1" x14ac:dyDescent="0.45">
      <c r="A15" s="2">
        <v>1</v>
      </c>
      <c r="B15" s="2" t="s">
        <v>53</v>
      </c>
      <c r="C15" s="25" t="s">
        <v>29</v>
      </c>
      <c r="D15" s="1">
        <v>0</v>
      </c>
      <c r="E15" s="1">
        <v>0</v>
      </c>
      <c r="F15" s="1">
        <v>0</v>
      </c>
      <c r="G15" s="1">
        <v>2</v>
      </c>
      <c r="H15" s="1">
        <v>1</v>
      </c>
      <c r="I15" s="1">
        <v>0</v>
      </c>
      <c r="J15" s="1">
        <v>0</v>
      </c>
      <c r="K15" s="1">
        <v>0</v>
      </c>
      <c r="L15" s="1">
        <f>SUM(D15:K15)</f>
        <v>3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ht="37.5" customHeight="1" x14ac:dyDescent="0.45">
      <c r="A16" s="2">
        <v>2</v>
      </c>
      <c r="B16" s="2" t="s">
        <v>28</v>
      </c>
      <c r="C16" s="25" t="s">
        <v>40</v>
      </c>
      <c r="D16" s="1">
        <v>0</v>
      </c>
      <c r="E16" s="1">
        <v>1</v>
      </c>
      <c r="F16" s="1">
        <v>4</v>
      </c>
      <c r="G16" s="1">
        <v>8</v>
      </c>
      <c r="H16" s="1">
        <v>6</v>
      </c>
      <c r="I16" s="1">
        <v>2</v>
      </c>
      <c r="J16" s="1">
        <v>0</v>
      </c>
      <c r="K16" s="1">
        <v>1</v>
      </c>
      <c r="L16" s="1">
        <f>SUM(D16:K16)</f>
        <v>22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ht="40.5" customHeight="1" x14ac:dyDescent="0.45">
      <c r="A17" s="2">
        <v>3</v>
      </c>
      <c r="B17" s="2" t="s">
        <v>27</v>
      </c>
      <c r="C17" s="25" t="s">
        <v>48</v>
      </c>
      <c r="D17" s="1">
        <v>0</v>
      </c>
      <c r="E17" s="1">
        <v>0</v>
      </c>
      <c r="F17" s="1">
        <v>11</v>
      </c>
      <c r="G17" s="1">
        <v>14</v>
      </c>
      <c r="H17" s="1">
        <v>6</v>
      </c>
      <c r="I17" s="1">
        <v>1</v>
      </c>
      <c r="J17" s="1">
        <v>0</v>
      </c>
      <c r="K17" s="1">
        <v>0</v>
      </c>
      <c r="L17" s="1">
        <f>SUM(D17:K17)</f>
        <v>32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ht="30.75" customHeight="1" x14ac:dyDescent="0.45">
      <c r="A18" s="2"/>
      <c r="B18" s="2"/>
      <c r="C18" s="11" t="s">
        <v>6</v>
      </c>
      <c r="D18" s="9">
        <f>SUM(D15:D17)</f>
        <v>0</v>
      </c>
      <c r="E18" s="9">
        <f t="shared" ref="E18:L18" si="1">SUM(E15:E17)</f>
        <v>1</v>
      </c>
      <c r="F18" s="9">
        <f t="shared" si="1"/>
        <v>15</v>
      </c>
      <c r="G18" s="9">
        <f t="shared" si="1"/>
        <v>24</v>
      </c>
      <c r="H18" s="9">
        <f t="shared" si="1"/>
        <v>13</v>
      </c>
      <c r="I18" s="9">
        <f t="shared" si="1"/>
        <v>3</v>
      </c>
      <c r="J18" s="9">
        <f t="shared" si="1"/>
        <v>0</v>
      </c>
      <c r="K18" s="9">
        <f t="shared" si="1"/>
        <v>1</v>
      </c>
      <c r="L18" s="9">
        <f t="shared" si="1"/>
        <v>57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x14ac:dyDescent="0.45"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x14ac:dyDescent="0.45"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x14ac:dyDescent="0.45"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</sheetData>
  <mergeCells count="14">
    <mergeCell ref="C3:C4"/>
    <mergeCell ref="A1:L1"/>
    <mergeCell ref="L13:L14"/>
    <mergeCell ref="L3:L4"/>
    <mergeCell ref="A12:L12"/>
    <mergeCell ref="D13:K13"/>
    <mergeCell ref="A2:L2"/>
    <mergeCell ref="D3:K3"/>
    <mergeCell ref="A11:L11"/>
    <mergeCell ref="C13:C14"/>
    <mergeCell ref="B13:B14"/>
    <mergeCell ref="A13:A14"/>
    <mergeCell ref="A3:A4"/>
    <mergeCell ref="B3:B4"/>
  </mergeCells>
  <printOptions horizontalCentered="1"/>
  <pageMargins left="0.32" right="0.7" top="0.78740157480314998" bottom="0.78740157480314998" header="0.28000000000000003" footer="0.62992125984252001"/>
  <pageSetup paperSize="9" scale="87" orientation="landscape" r:id="rId1"/>
  <headerFooter>
    <oddFooter>&amp;C112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1"/>
  <sheetViews>
    <sheetView tabSelected="1" workbookViewId="0">
      <selection activeCell="A16" sqref="A16:K16"/>
    </sheetView>
  </sheetViews>
  <sheetFormatPr defaultColWidth="9.1328125" defaultRowHeight="15.75" x14ac:dyDescent="0.45"/>
  <cols>
    <col min="1" max="1" width="8" style="15" customWidth="1"/>
    <col min="2" max="2" width="58.1328125" style="15" customWidth="1"/>
    <col min="3" max="10" width="8.73046875" style="15" customWidth="1"/>
    <col min="11" max="11" width="9.59765625" style="15" customWidth="1"/>
    <col min="12" max="16384" width="9.1328125" style="15"/>
  </cols>
  <sheetData>
    <row r="1" spans="1:23" ht="18" customHeight="1" x14ac:dyDescent="0.45">
      <c r="A1" s="26" t="s">
        <v>66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23" ht="18" customHeight="1" x14ac:dyDescent="0.45">
      <c r="A2" s="26" t="s">
        <v>41</v>
      </c>
      <c r="B2" s="26"/>
      <c r="C2" s="26"/>
      <c r="D2" s="26"/>
      <c r="E2" s="26"/>
      <c r="F2" s="26"/>
      <c r="G2" s="26"/>
      <c r="H2" s="26"/>
      <c r="I2" s="26"/>
      <c r="J2" s="26"/>
      <c r="K2" s="2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18.75" customHeight="1" x14ac:dyDescent="0.45">
      <c r="A3" s="27" t="s">
        <v>0</v>
      </c>
      <c r="B3" s="27" t="s">
        <v>12</v>
      </c>
      <c r="C3" s="26" t="s">
        <v>46</v>
      </c>
      <c r="D3" s="26"/>
      <c r="E3" s="26"/>
      <c r="F3" s="26"/>
      <c r="G3" s="26"/>
      <c r="H3" s="26"/>
      <c r="I3" s="26"/>
      <c r="J3" s="26"/>
      <c r="K3" s="2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31.5" x14ac:dyDescent="0.45">
      <c r="A4" s="28"/>
      <c r="B4" s="28"/>
      <c r="C4" s="10" t="s">
        <v>42</v>
      </c>
      <c r="D4" s="21" t="s">
        <v>35</v>
      </c>
      <c r="E4" s="22" t="s">
        <v>34</v>
      </c>
      <c r="F4" s="22" t="s">
        <v>33</v>
      </c>
      <c r="G4" s="22" t="s">
        <v>32</v>
      </c>
      <c r="H4" s="22" t="s">
        <v>31</v>
      </c>
      <c r="I4" s="22" t="s">
        <v>30</v>
      </c>
      <c r="J4" s="10" t="s">
        <v>47</v>
      </c>
      <c r="K4" s="10" t="s">
        <v>6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ht="20.25" customHeight="1" x14ac:dyDescent="0.45">
      <c r="A5" s="17">
        <v>1</v>
      </c>
      <c r="B5" s="23" t="s">
        <v>14</v>
      </c>
      <c r="C5" s="18">
        <v>0</v>
      </c>
      <c r="D5" s="18">
        <v>0</v>
      </c>
      <c r="E5" s="18">
        <v>0</v>
      </c>
      <c r="F5" s="18">
        <v>2</v>
      </c>
      <c r="G5" s="18">
        <v>1</v>
      </c>
      <c r="H5" s="18">
        <v>0</v>
      </c>
      <c r="I5" s="18">
        <v>0</v>
      </c>
      <c r="J5" s="18">
        <v>0</v>
      </c>
      <c r="K5" s="18">
        <f>SUM(C5:J5)</f>
        <v>3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 ht="17.25" customHeight="1" x14ac:dyDescent="0.45">
      <c r="A6" s="17">
        <v>2</v>
      </c>
      <c r="B6" s="23" t="s">
        <v>57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f t="shared" ref="K6:K13" si="0">SUM(C6:J6)</f>
        <v>0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ht="17.25" customHeight="1" x14ac:dyDescent="0.45">
      <c r="A7" s="17">
        <v>3</v>
      </c>
      <c r="B7" s="24" t="s">
        <v>15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f t="shared" si="0"/>
        <v>0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ht="17.25" customHeight="1" x14ac:dyDescent="0.45">
      <c r="A8" s="17">
        <v>4</v>
      </c>
      <c r="B8" s="24" t="s">
        <v>16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f t="shared" si="0"/>
        <v>0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ht="17.25" customHeight="1" x14ac:dyDescent="0.45">
      <c r="A9" s="17">
        <v>5</v>
      </c>
      <c r="B9" s="24" t="s">
        <v>17</v>
      </c>
      <c r="C9" s="18">
        <v>0</v>
      </c>
      <c r="D9" s="18">
        <v>1</v>
      </c>
      <c r="E9" s="18">
        <v>0</v>
      </c>
      <c r="F9" s="18">
        <v>0</v>
      </c>
      <c r="G9" s="18">
        <v>1</v>
      </c>
      <c r="H9" s="18">
        <v>1</v>
      </c>
      <c r="I9" s="18">
        <v>1</v>
      </c>
      <c r="J9" s="18">
        <v>5</v>
      </c>
      <c r="K9" s="18">
        <f t="shared" si="0"/>
        <v>9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ht="17.25" customHeight="1" x14ac:dyDescent="0.45">
      <c r="A10" s="17">
        <v>6</v>
      </c>
      <c r="B10" s="24" t="s">
        <v>58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f t="shared" si="0"/>
        <v>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ht="17.25" customHeight="1" x14ac:dyDescent="0.45">
      <c r="A11" s="17">
        <v>7</v>
      </c>
      <c r="B11" s="24" t="s">
        <v>18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f t="shared" si="0"/>
        <v>0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17.25" customHeight="1" x14ac:dyDescent="0.45">
      <c r="A12" s="17">
        <v>8</v>
      </c>
      <c r="B12" s="24" t="s">
        <v>43</v>
      </c>
      <c r="C12" s="18">
        <v>0</v>
      </c>
      <c r="D12" s="18">
        <v>0</v>
      </c>
      <c r="E12" s="18">
        <v>2</v>
      </c>
      <c r="F12" s="18">
        <v>3</v>
      </c>
      <c r="G12" s="18">
        <v>1</v>
      </c>
      <c r="H12" s="18">
        <v>2</v>
      </c>
      <c r="I12" s="18">
        <v>1</v>
      </c>
      <c r="J12" s="18">
        <v>3</v>
      </c>
      <c r="K12" s="18">
        <f t="shared" si="0"/>
        <v>12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17.25" customHeight="1" x14ac:dyDescent="0.45">
      <c r="A13" s="17">
        <v>9</v>
      </c>
      <c r="B13" s="24" t="s">
        <v>44</v>
      </c>
      <c r="C13" s="18">
        <v>0</v>
      </c>
      <c r="D13" s="18">
        <v>0</v>
      </c>
      <c r="E13" s="18">
        <v>7</v>
      </c>
      <c r="F13" s="18">
        <v>14</v>
      </c>
      <c r="G13" s="18">
        <v>19</v>
      </c>
      <c r="H13" s="18">
        <v>9</v>
      </c>
      <c r="I13" s="18">
        <v>1</v>
      </c>
      <c r="J13" s="18">
        <v>5</v>
      </c>
      <c r="K13" s="18">
        <f t="shared" si="0"/>
        <v>55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17.25" customHeight="1" x14ac:dyDescent="0.45">
      <c r="A14" s="17"/>
      <c r="B14" s="10" t="s">
        <v>6</v>
      </c>
      <c r="C14" s="19">
        <f>SUM(C5:C13)</f>
        <v>0</v>
      </c>
      <c r="D14" s="19">
        <f t="shared" ref="D14:K14" si="1">SUM(D5:D13)</f>
        <v>1</v>
      </c>
      <c r="E14" s="19">
        <f t="shared" si="1"/>
        <v>9</v>
      </c>
      <c r="F14" s="19">
        <f t="shared" si="1"/>
        <v>19</v>
      </c>
      <c r="G14" s="19">
        <f t="shared" si="1"/>
        <v>22</v>
      </c>
      <c r="H14" s="19">
        <f t="shared" si="1"/>
        <v>12</v>
      </c>
      <c r="I14" s="19">
        <f t="shared" si="1"/>
        <v>3</v>
      </c>
      <c r="J14" s="19">
        <f t="shared" si="1"/>
        <v>13</v>
      </c>
      <c r="K14" s="19">
        <f t="shared" si="1"/>
        <v>79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45"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8" customHeight="1" x14ac:dyDescent="0.45">
      <c r="A16" s="26" t="s">
        <v>67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18" customHeight="1" x14ac:dyDescent="0.45">
      <c r="A17" s="26" t="s">
        <v>45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18.75" customHeight="1" x14ac:dyDescent="0.45">
      <c r="A18" s="27" t="s">
        <v>0</v>
      </c>
      <c r="B18" s="27" t="s">
        <v>12</v>
      </c>
      <c r="C18" s="26" t="s">
        <v>46</v>
      </c>
      <c r="D18" s="26"/>
      <c r="E18" s="26"/>
      <c r="F18" s="26"/>
      <c r="G18" s="26"/>
      <c r="H18" s="26"/>
      <c r="I18" s="26"/>
      <c r="J18" s="26"/>
      <c r="K18" s="2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31.5" x14ac:dyDescent="0.45">
      <c r="A19" s="28"/>
      <c r="B19" s="28"/>
      <c r="C19" s="10" t="s">
        <v>42</v>
      </c>
      <c r="D19" s="21" t="s">
        <v>35</v>
      </c>
      <c r="E19" s="22" t="s">
        <v>34</v>
      </c>
      <c r="F19" s="22" t="s">
        <v>33</v>
      </c>
      <c r="G19" s="22" t="s">
        <v>32</v>
      </c>
      <c r="H19" s="22" t="s">
        <v>31</v>
      </c>
      <c r="I19" s="22" t="s">
        <v>30</v>
      </c>
      <c r="J19" s="10" t="s">
        <v>47</v>
      </c>
      <c r="K19" s="10" t="s">
        <v>6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18" customHeight="1" x14ac:dyDescent="0.45">
      <c r="A20" s="17">
        <v>1</v>
      </c>
      <c r="B20" s="24" t="s">
        <v>14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f>SUM(C20:J20)</f>
        <v>0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18" customHeight="1" x14ac:dyDescent="0.45">
      <c r="A21" s="17">
        <v>2</v>
      </c>
      <c r="B21" s="24" t="s">
        <v>57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f t="shared" ref="K21:K28" si="2">SUM(C21:J21)</f>
        <v>0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18.75" customHeight="1" x14ac:dyDescent="0.45">
      <c r="A22" s="17">
        <v>3</v>
      </c>
      <c r="B22" s="23" t="s">
        <v>15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f t="shared" si="2"/>
        <v>0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8.75" customHeight="1" x14ac:dyDescent="0.45">
      <c r="A23" s="17">
        <v>4</v>
      </c>
      <c r="B23" s="23" t="s">
        <v>16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f t="shared" si="2"/>
        <v>0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7.25" customHeight="1" x14ac:dyDescent="0.45">
      <c r="A24" s="17">
        <v>5</v>
      </c>
      <c r="B24" s="23" t="s">
        <v>17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f t="shared" si="2"/>
        <v>0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17.25" customHeight="1" x14ac:dyDescent="0.45">
      <c r="A25" s="17">
        <v>6</v>
      </c>
      <c r="B25" s="23" t="s">
        <v>58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f t="shared" si="2"/>
        <v>0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8.75" customHeight="1" x14ac:dyDescent="0.45">
      <c r="A26" s="17">
        <v>7</v>
      </c>
      <c r="B26" s="23" t="s">
        <v>18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f t="shared" si="2"/>
        <v>0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8" customHeight="1" x14ac:dyDescent="0.45">
      <c r="A27" s="17">
        <v>8</v>
      </c>
      <c r="B27" s="23" t="s">
        <v>43</v>
      </c>
      <c r="C27" s="18">
        <v>0</v>
      </c>
      <c r="D27" s="18">
        <v>0</v>
      </c>
      <c r="E27" s="18">
        <v>0</v>
      </c>
      <c r="F27" s="18">
        <v>1</v>
      </c>
      <c r="G27" s="18">
        <v>2</v>
      </c>
      <c r="H27" s="18">
        <v>0</v>
      </c>
      <c r="I27" s="18">
        <v>0</v>
      </c>
      <c r="J27" s="18">
        <v>0</v>
      </c>
      <c r="K27" s="18">
        <f t="shared" si="2"/>
        <v>3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8.75" customHeight="1" x14ac:dyDescent="0.45">
      <c r="A28" s="17">
        <v>9</v>
      </c>
      <c r="B28" s="23" t="s">
        <v>44</v>
      </c>
      <c r="C28" s="18">
        <v>0</v>
      </c>
      <c r="D28" s="18">
        <v>1</v>
      </c>
      <c r="E28" s="18">
        <v>15</v>
      </c>
      <c r="F28" s="18">
        <v>23</v>
      </c>
      <c r="G28" s="18">
        <v>11</v>
      </c>
      <c r="H28" s="18">
        <v>3</v>
      </c>
      <c r="I28" s="18">
        <v>0</v>
      </c>
      <c r="J28" s="18">
        <v>1</v>
      </c>
      <c r="K28" s="18">
        <f t="shared" si="2"/>
        <v>54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8" customHeight="1" x14ac:dyDescent="0.45">
      <c r="A29" s="17"/>
      <c r="B29" s="10" t="s">
        <v>26</v>
      </c>
      <c r="C29" s="19">
        <f>SUM(C20:C28)</f>
        <v>0</v>
      </c>
      <c r="D29" s="19">
        <f t="shared" ref="D29:K29" si="3">SUM(D20:D28)</f>
        <v>1</v>
      </c>
      <c r="E29" s="19">
        <f t="shared" si="3"/>
        <v>15</v>
      </c>
      <c r="F29" s="19">
        <f t="shared" si="3"/>
        <v>24</v>
      </c>
      <c r="G29" s="19">
        <f t="shared" si="3"/>
        <v>13</v>
      </c>
      <c r="H29" s="19">
        <f t="shared" si="3"/>
        <v>3</v>
      </c>
      <c r="I29" s="19">
        <f t="shared" si="3"/>
        <v>0</v>
      </c>
      <c r="J29" s="19">
        <f t="shared" si="3"/>
        <v>1</v>
      </c>
      <c r="K29" s="19">
        <f t="shared" si="3"/>
        <v>57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x14ac:dyDescent="0.45"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x14ac:dyDescent="0.45"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</sheetData>
  <mergeCells count="10">
    <mergeCell ref="A1:K1"/>
    <mergeCell ref="A2:K2"/>
    <mergeCell ref="B3:B4"/>
    <mergeCell ref="A3:A4"/>
    <mergeCell ref="B18:B19"/>
    <mergeCell ref="A18:A19"/>
    <mergeCell ref="A17:K17"/>
    <mergeCell ref="C18:K18"/>
    <mergeCell ref="C3:K3"/>
    <mergeCell ref="A16:K16"/>
  </mergeCells>
  <pageMargins left="1.45" right="0.83" top="0.78740157480314998" bottom="0.78740157480314998" header="0.31" footer="0.55118110236220497"/>
  <pageSetup paperSize="9" scale="78" orientation="landscape" r:id="rId1"/>
  <headerFooter>
    <oddFooter>&amp;C113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D-12 &amp; D-13</vt:lpstr>
      <vt:lpstr>D-14</vt:lpstr>
      <vt:lpstr>D-15</vt:lpstr>
      <vt:lpstr>D-16</vt:lpstr>
      <vt:lpstr>D-18</vt:lpstr>
      <vt:lpstr>'D-12 &amp; D-13'!Print_Area</vt:lpstr>
      <vt:lpstr>'D-18'!Print_Area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2026-04-20T15:48:03Z</dcterms:modified>
</cp:coreProperties>
</file>