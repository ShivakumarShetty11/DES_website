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360" yWindow="-15" windowWidth="2040" windowHeight="1260" tabRatio="886"/>
  </bookViews>
  <sheets>
    <sheet name="D-10" sheetId="24" r:id="rId1"/>
  </sheets>
  <definedNames>
    <definedName name="_xlnm.Print_Area" localSheetId="0">'D-10'!$A$1:$O$72</definedName>
    <definedName name="_xlnm.Print_Titles" localSheetId="0">'D-10'!$1:$5</definedName>
  </definedNames>
  <calcPr calcId="124519"/>
</workbook>
</file>

<file path=xl/calcChain.xml><?xml version="1.0" encoding="utf-8"?>
<calcChain xmlns="http://schemas.openxmlformats.org/spreadsheetml/2006/main">
  <c r="O68" i="24"/>
  <c r="O67"/>
  <c r="O66"/>
  <c r="D69"/>
  <c r="E69"/>
  <c r="F69"/>
  <c r="G69"/>
  <c r="H69"/>
  <c r="I69"/>
  <c r="J69"/>
  <c r="K69"/>
  <c r="L69"/>
  <c r="M69"/>
  <c r="N69"/>
  <c r="D70"/>
  <c r="E70"/>
  <c r="F70"/>
  <c r="G70"/>
  <c r="H70"/>
  <c r="I70"/>
  <c r="J70"/>
  <c r="K70"/>
  <c r="L70"/>
  <c r="M70"/>
  <c r="N70"/>
  <c r="D71"/>
  <c r="E71"/>
  <c r="F71"/>
  <c r="G71"/>
  <c r="H71"/>
  <c r="I71"/>
  <c r="J71"/>
  <c r="K71"/>
  <c r="L71"/>
  <c r="M71"/>
  <c r="N71"/>
  <c r="O64" l="1"/>
  <c r="O65"/>
  <c r="K72"/>
  <c r="D72"/>
  <c r="J72" l="1"/>
  <c r="M72"/>
  <c r="E72"/>
  <c r="G72"/>
  <c r="N72"/>
  <c r="H72"/>
  <c r="I72"/>
  <c r="L72"/>
  <c r="F72"/>
  <c r="O63" l="1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71" l="1"/>
  <c r="O69"/>
  <c r="O70"/>
  <c r="O72" l="1"/>
</calcChain>
</file>

<file path=xl/sharedStrings.xml><?xml version="1.0" encoding="utf-8"?>
<sst xmlns="http://schemas.openxmlformats.org/spreadsheetml/2006/main" count="144" uniqueCount="80">
  <si>
    <t>TOTAL</t>
  </si>
  <si>
    <t>SEX</t>
  </si>
  <si>
    <t>15-24</t>
  </si>
  <si>
    <t>25-34</t>
  </si>
  <si>
    <t>35-44</t>
  </si>
  <si>
    <t>45-54</t>
  </si>
  <si>
    <t>55-64</t>
  </si>
  <si>
    <t>65-69</t>
  </si>
  <si>
    <t>AGE IN YEARS</t>
  </si>
  <si>
    <t>NAME OF THE DISEASE</t>
  </si>
  <si>
    <t>&lt;1</t>
  </si>
  <si>
    <t>1-4</t>
  </si>
  <si>
    <t>5-14</t>
  </si>
  <si>
    <t>&gt;=70</t>
  </si>
  <si>
    <t>NOT STATED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</si>
  <si>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</si>
  <si>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</si>
  <si>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</si>
  <si>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</si>
  <si>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</si>
  <si>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</si>
  <si>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</si>
  <si>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</si>
  <si>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</si>
  <si>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</si>
  <si>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</si>
  <si>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</si>
  <si>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</si>
  <si>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I</t>
  </si>
  <si>
    <t>II</t>
  </si>
  <si>
    <t>NEOPLASMS(C00-D48)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</si>
  <si>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</si>
  <si>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</si>
  <si>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</si>
  <si>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</si>
  <si>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</si>
  <si>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</si>
  <si>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</si>
  <si>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</si>
  <si>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</si>
  <si>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DISEASES OF THE DIGESTIVE SYSTEM (K00-K92)</t>
  </si>
  <si>
    <t>XII</t>
  </si>
  <si>
    <t>XIII</t>
  </si>
  <si>
    <t>XIV</t>
  </si>
  <si>
    <t>XV</t>
  </si>
  <si>
    <t>PREGNANCY,CHILDBIRTH AND THE PUERPERIUM (O00-O99)</t>
  </si>
  <si>
    <t>XVI</t>
  </si>
  <si>
    <t>XVII</t>
  </si>
  <si>
    <t>XVIII</t>
  </si>
  <si>
    <t>XIX</t>
  </si>
  <si>
    <t>XX</t>
  </si>
  <si>
    <t>Total</t>
  </si>
  <si>
    <t>All</t>
  </si>
  <si>
    <t>SL. No.</t>
  </si>
  <si>
    <t>DISEASES OF THE GENITOURINARY SYSTEM (N00 - N99)</t>
  </si>
  <si>
    <t xml:space="preserve">Male </t>
  </si>
  <si>
    <t>Female</t>
  </si>
  <si>
    <t>DISEASES OF THE BLOOD &amp; BLOOD FORMING ORGANS AND CERTAIN DISORDERS INVOLVING THE IMMUNE MECHANISM (D50-D89)</t>
  </si>
  <si>
    <t>MENTAL AND BEHAVIOURAL DISORDERS (F01-F99)</t>
  </si>
  <si>
    <t>DISEASES OF THE NERVOUS SYSTEM (G00-G98)</t>
  </si>
  <si>
    <t>DISEASES OF THE EYE AND ADNEXA (H00-H59)</t>
  </si>
  <si>
    <t>DISEASES OF THE EAR AND MASTOID PROCESS (H60-H95)</t>
  </si>
  <si>
    <t>DISEASES OF THE CIRCULATORY SYSTEM (I00-I99)</t>
  </si>
  <si>
    <t>DISEASES OF THE RESPIRATORY SYSTEM (J00-J98)</t>
  </si>
  <si>
    <t>DISEASES OF THE SKIN AND SUBCUTANEOUS TISSUE (L00-L98)</t>
  </si>
  <si>
    <t>DISEASES OF THE MUSCULOSKELETAL SYSTEM CONNECTIVE TISSUE (M00-M99)</t>
  </si>
  <si>
    <t>CERTAIN CONDITIONS ORIGINATING IN THE PERINATAL PERIOD (P00-P96)</t>
  </si>
  <si>
    <t>CONGENITAL MALFORMATIONS, DEFORMATIONS &amp; CHROMOSOMAL ABNORMALITIES (Q00-Q99)</t>
  </si>
  <si>
    <t>INJURY, POISONING AND CERTAIN OTHER (S00-T98)</t>
  </si>
  <si>
    <t>EXTERNAL CAUSES OF MORBIDITY AND MORTALITY (V01-Y89)</t>
  </si>
  <si>
    <t>Other</t>
  </si>
  <si>
    <t>(1)</t>
  </si>
  <si>
    <t>(2)</t>
  </si>
  <si>
    <t>CERTAIN INFECTIOUS AND PARASITIC DISEASES (A00-B99)</t>
  </si>
  <si>
    <t>ENDOCRINE, NUTRITIONAL AND METABOLIC DISEASES (E00-E90)</t>
  </si>
  <si>
    <t>CODES FOR SPECIAL PURPOSES (U00-U49)</t>
  </si>
  <si>
    <t>XXI</t>
  </si>
  <si>
    <t>SYMPTOMS, SIGNS AND ABNORMAL CLINICAL &amp;LABORATORY FINDING NOT ELSEWHERE CLASSIFIED (R00-R99)</t>
  </si>
  <si>
    <t>TABLE : D-10 (PROVISIONAL)</t>
  </si>
  <si>
    <t>DEATHS BY CAUSE OF DEATHS, AGE AND SEX FOR ALL DEATHS (MEDICALLY CERTIFIED OR NOT) - 2024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</si>
</sst>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16" fontId="2" fillId="2" borderId="1" xfId="0" quotePrefix="1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4"/>
  <sheetViews>
    <sheetView tabSelected="1" view="pageLayout" topLeftCell="A28" zoomScale="85" zoomScaleNormal="85" zoomScalePageLayoutView="85" workbookViewId="0">
      <selection activeCell="G76" sqref="G76"/>
    </sheetView>
  </sheetViews>
  <sheetFormatPr defaultColWidth="8" defaultRowHeight="19.5" customHeight="1"/>
  <cols>
    <col min="1" max="1" width="4.7109375" style="8" customWidth="1"/>
    <col min="2" max="2" width="57" style="8" customWidth="1"/>
    <col min="3" max="3" width="10.7109375" style="8" customWidth="1"/>
    <col min="4" max="4" width="8.5703125" style="8" customWidth="1"/>
    <col min="5" max="5" width="8.85546875" style="8" customWidth="1"/>
    <col min="6" max="6" width="9.28515625" style="8" customWidth="1"/>
    <col min="7" max="7" width="8.85546875" style="8" customWidth="1"/>
    <col min="8" max="8" width="9.28515625" style="8" customWidth="1"/>
    <col min="9" max="9" width="9.5703125" style="8" customWidth="1"/>
    <col min="10" max="10" width="8.85546875" style="8" customWidth="1"/>
    <col min="11" max="12" width="8.5703125" style="8" customWidth="1"/>
    <col min="13" max="13" width="9.85546875" style="8" customWidth="1"/>
    <col min="14" max="14" width="11.140625" style="8" customWidth="1"/>
    <col min="15" max="15" width="13.85546875" style="8" customWidth="1"/>
    <col min="16" max="253" width="8" style="8"/>
    <col min="254" max="254" width="4.5703125" style="8" customWidth="1"/>
    <col min="255" max="255" width="4.7109375" style="8" customWidth="1"/>
    <col min="256" max="256" width="32.140625" style="8" customWidth="1"/>
    <col min="257" max="257" width="6.7109375" style="8" bestFit="1" customWidth="1"/>
    <col min="258" max="258" width="7.28515625" style="8" customWidth="1"/>
    <col min="259" max="259" width="6.28515625" style="8" customWidth="1"/>
    <col min="260" max="260" width="6.7109375" style="8" bestFit="1" customWidth="1"/>
    <col min="261" max="261" width="6.42578125" style="8" customWidth="1"/>
    <col min="262" max="263" width="6.7109375" style="8" bestFit="1" customWidth="1"/>
    <col min="264" max="264" width="6.7109375" style="8" customWidth="1"/>
    <col min="265" max="265" width="7.85546875" style="8" bestFit="1" customWidth="1"/>
    <col min="266" max="266" width="6.42578125" style="8" customWidth="1"/>
    <col min="267" max="267" width="7" style="8" bestFit="1" customWidth="1"/>
    <col min="268" max="268" width="7.85546875" style="8" bestFit="1" customWidth="1"/>
    <col min="269" max="269" width="9.140625" style="8" customWidth="1"/>
    <col min="270" max="270" width="9.5703125" style="8" customWidth="1"/>
    <col min="271" max="509" width="8" style="8"/>
    <col min="510" max="510" width="4.5703125" style="8" customWidth="1"/>
    <col min="511" max="511" width="4.7109375" style="8" customWidth="1"/>
    <col min="512" max="512" width="32.140625" style="8" customWidth="1"/>
    <col min="513" max="513" width="6.7109375" style="8" bestFit="1" customWidth="1"/>
    <col min="514" max="514" width="7.28515625" style="8" customWidth="1"/>
    <col min="515" max="515" width="6.28515625" style="8" customWidth="1"/>
    <col min="516" max="516" width="6.7109375" style="8" bestFit="1" customWidth="1"/>
    <col min="517" max="517" width="6.42578125" style="8" customWidth="1"/>
    <col min="518" max="519" width="6.7109375" style="8" bestFit="1" customWidth="1"/>
    <col min="520" max="520" width="6.7109375" style="8" customWidth="1"/>
    <col min="521" max="521" width="7.85546875" style="8" bestFit="1" customWidth="1"/>
    <col min="522" max="522" width="6.42578125" style="8" customWidth="1"/>
    <col min="523" max="523" width="7" style="8" bestFit="1" customWidth="1"/>
    <col min="524" max="524" width="7.85546875" style="8" bestFit="1" customWidth="1"/>
    <col min="525" max="525" width="9.140625" style="8" customWidth="1"/>
    <col min="526" max="526" width="9.5703125" style="8" customWidth="1"/>
    <col min="527" max="765" width="8" style="8"/>
    <col min="766" max="766" width="4.5703125" style="8" customWidth="1"/>
    <col min="767" max="767" width="4.7109375" style="8" customWidth="1"/>
    <col min="768" max="768" width="32.140625" style="8" customWidth="1"/>
    <col min="769" max="769" width="6.7109375" style="8" bestFit="1" customWidth="1"/>
    <col min="770" max="770" width="7.28515625" style="8" customWidth="1"/>
    <col min="771" max="771" width="6.28515625" style="8" customWidth="1"/>
    <col min="772" max="772" width="6.7109375" style="8" bestFit="1" customWidth="1"/>
    <col min="773" max="773" width="6.42578125" style="8" customWidth="1"/>
    <col min="774" max="775" width="6.7109375" style="8" bestFit="1" customWidth="1"/>
    <col min="776" max="776" width="6.7109375" style="8" customWidth="1"/>
    <col min="777" max="777" width="7.85546875" style="8" bestFit="1" customWidth="1"/>
    <col min="778" max="778" width="6.42578125" style="8" customWidth="1"/>
    <col min="779" max="779" width="7" style="8" bestFit="1" customWidth="1"/>
    <col min="780" max="780" width="7.85546875" style="8" bestFit="1" customWidth="1"/>
    <col min="781" max="781" width="9.140625" style="8" customWidth="1"/>
    <col min="782" max="782" width="9.5703125" style="8" customWidth="1"/>
    <col min="783" max="1021" width="8" style="8"/>
    <col min="1022" max="1022" width="4.5703125" style="8" customWidth="1"/>
    <col min="1023" max="1023" width="4.7109375" style="8" customWidth="1"/>
    <col min="1024" max="1024" width="32.140625" style="8" customWidth="1"/>
    <col min="1025" max="1025" width="6.7109375" style="8" bestFit="1" customWidth="1"/>
    <col min="1026" max="1026" width="7.28515625" style="8" customWidth="1"/>
    <col min="1027" max="1027" width="6.28515625" style="8" customWidth="1"/>
    <col min="1028" max="1028" width="6.7109375" style="8" bestFit="1" customWidth="1"/>
    <col min="1029" max="1029" width="6.42578125" style="8" customWidth="1"/>
    <col min="1030" max="1031" width="6.7109375" style="8" bestFit="1" customWidth="1"/>
    <col min="1032" max="1032" width="6.7109375" style="8" customWidth="1"/>
    <col min="1033" max="1033" width="7.85546875" style="8" bestFit="1" customWidth="1"/>
    <col min="1034" max="1034" width="6.42578125" style="8" customWidth="1"/>
    <col min="1035" max="1035" width="7" style="8" bestFit="1" customWidth="1"/>
    <col min="1036" max="1036" width="7.85546875" style="8" bestFit="1" customWidth="1"/>
    <col min="1037" max="1037" width="9.140625" style="8" customWidth="1"/>
    <col min="1038" max="1038" width="9.5703125" style="8" customWidth="1"/>
    <col min="1039" max="1277" width="8" style="8"/>
    <col min="1278" max="1278" width="4.5703125" style="8" customWidth="1"/>
    <col min="1279" max="1279" width="4.7109375" style="8" customWidth="1"/>
    <col min="1280" max="1280" width="32.140625" style="8" customWidth="1"/>
    <col min="1281" max="1281" width="6.7109375" style="8" bestFit="1" customWidth="1"/>
    <col min="1282" max="1282" width="7.28515625" style="8" customWidth="1"/>
    <col min="1283" max="1283" width="6.28515625" style="8" customWidth="1"/>
    <col min="1284" max="1284" width="6.7109375" style="8" bestFit="1" customWidth="1"/>
    <col min="1285" max="1285" width="6.42578125" style="8" customWidth="1"/>
    <col min="1286" max="1287" width="6.7109375" style="8" bestFit="1" customWidth="1"/>
    <col min="1288" max="1288" width="6.7109375" style="8" customWidth="1"/>
    <col min="1289" max="1289" width="7.85546875" style="8" bestFit="1" customWidth="1"/>
    <col min="1290" max="1290" width="6.42578125" style="8" customWidth="1"/>
    <col min="1291" max="1291" width="7" style="8" bestFit="1" customWidth="1"/>
    <col min="1292" max="1292" width="7.85546875" style="8" bestFit="1" customWidth="1"/>
    <col min="1293" max="1293" width="9.140625" style="8" customWidth="1"/>
    <col min="1294" max="1294" width="9.5703125" style="8" customWidth="1"/>
    <col min="1295" max="1533" width="8" style="8"/>
    <col min="1534" max="1534" width="4.5703125" style="8" customWidth="1"/>
    <col min="1535" max="1535" width="4.7109375" style="8" customWidth="1"/>
    <col min="1536" max="1536" width="32.140625" style="8" customWidth="1"/>
    <col min="1537" max="1537" width="6.7109375" style="8" bestFit="1" customWidth="1"/>
    <col min="1538" max="1538" width="7.28515625" style="8" customWidth="1"/>
    <col min="1539" max="1539" width="6.28515625" style="8" customWidth="1"/>
    <col min="1540" max="1540" width="6.7109375" style="8" bestFit="1" customWidth="1"/>
    <col min="1541" max="1541" width="6.42578125" style="8" customWidth="1"/>
    <col min="1542" max="1543" width="6.7109375" style="8" bestFit="1" customWidth="1"/>
    <col min="1544" max="1544" width="6.7109375" style="8" customWidth="1"/>
    <col min="1545" max="1545" width="7.85546875" style="8" bestFit="1" customWidth="1"/>
    <col min="1546" max="1546" width="6.42578125" style="8" customWidth="1"/>
    <col min="1547" max="1547" width="7" style="8" bestFit="1" customWidth="1"/>
    <col min="1548" max="1548" width="7.85546875" style="8" bestFit="1" customWidth="1"/>
    <col min="1549" max="1549" width="9.140625" style="8" customWidth="1"/>
    <col min="1550" max="1550" width="9.5703125" style="8" customWidth="1"/>
    <col min="1551" max="1789" width="8" style="8"/>
    <col min="1790" max="1790" width="4.5703125" style="8" customWidth="1"/>
    <col min="1791" max="1791" width="4.7109375" style="8" customWidth="1"/>
    <col min="1792" max="1792" width="32.140625" style="8" customWidth="1"/>
    <col min="1793" max="1793" width="6.7109375" style="8" bestFit="1" customWidth="1"/>
    <col min="1794" max="1794" width="7.28515625" style="8" customWidth="1"/>
    <col min="1795" max="1795" width="6.28515625" style="8" customWidth="1"/>
    <col min="1796" max="1796" width="6.7109375" style="8" bestFit="1" customWidth="1"/>
    <col min="1797" max="1797" width="6.42578125" style="8" customWidth="1"/>
    <col min="1798" max="1799" width="6.7109375" style="8" bestFit="1" customWidth="1"/>
    <col min="1800" max="1800" width="6.7109375" style="8" customWidth="1"/>
    <col min="1801" max="1801" width="7.85546875" style="8" bestFit="1" customWidth="1"/>
    <col min="1802" max="1802" width="6.42578125" style="8" customWidth="1"/>
    <col min="1803" max="1803" width="7" style="8" bestFit="1" customWidth="1"/>
    <col min="1804" max="1804" width="7.85546875" style="8" bestFit="1" customWidth="1"/>
    <col min="1805" max="1805" width="9.140625" style="8" customWidth="1"/>
    <col min="1806" max="1806" width="9.5703125" style="8" customWidth="1"/>
    <col min="1807" max="2045" width="8" style="8"/>
    <col min="2046" max="2046" width="4.5703125" style="8" customWidth="1"/>
    <col min="2047" max="2047" width="4.7109375" style="8" customWidth="1"/>
    <col min="2048" max="2048" width="32.140625" style="8" customWidth="1"/>
    <col min="2049" max="2049" width="6.7109375" style="8" bestFit="1" customWidth="1"/>
    <col min="2050" max="2050" width="7.28515625" style="8" customWidth="1"/>
    <col min="2051" max="2051" width="6.28515625" style="8" customWidth="1"/>
    <col min="2052" max="2052" width="6.7109375" style="8" bestFit="1" customWidth="1"/>
    <col min="2053" max="2053" width="6.42578125" style="8" customWidth="1"/>
    <col min="2054" max="2055" width="6.7109375" style="8" bestFit="1" customWidth="1"/>
    <col min="2056" max="2056" width="6.7109375" style="8" customWidth="1"/>
    <col min="2057" max="2057" width="7.85546875" style="8" bestFit="1" customWidth="1"/>
    <col min="2058" max="2058" width="6.42578125" style="8" customWidth="1"/>
    <col min="2059" max="2059" width="7" style="8" bestFit="1" customWidth="1"/>
    <col min="2060" max="2060" width="7.85546875" style="8" bestFit="1" customWidth="1"/>
    <col min="2061" max="2061" width="9.140625" style="8" customWidth="1"/>
    <col min="2062" max="2062" width="9.5703125" style="8" customWidth="1"/>
    <col min="2063" max="2301" width="8" style="8"/>
    <col min="2302" max="2302" width="4.5703125" style="8" customWidth="1"/>
    <col min="2303" max="2303" width="4.7109375" style="8" customWidth="1"/>
    <col min="2304" max="2304" width="32.140625" style="8" customWidth="1"/>
    <col min="2305" max="2305" width="6.7109375" style="8" bestFit="1" customWidth="1"/>
    <col min="2306" max="2306" width="7.28515625" style="8" customWidth="1"/>
    <col min="2307" max="2307" width="6.28515625" style="8" customWidth="1"/>
    <col min="2308" max="2308" width="6.7109375" style="8" bestFit="1" customWidth="1"/>
    <col min="2309" max="2309" width="6.42578125" style="8" customWidth="1"/>
    <col min="2310" max="2311" width="6.7109375" style="8" bestFit="1" customWidth="1"/>
    <col min="2312" max="2312" width="6.7109375" style="8" customWidth="1"/>
    <col min="2313" max="2313" width="7.85546875" style="8" bestFit="1" customWidth="1"/>
    <col min="2314" max="2314" width="6.42578125" style="8" customWidth="1"/>
    <col min="2315" max="2315" width="7" style="8" bestFit="1" customWidth="1"/>
    <col min="2316" max="2316" width="7.85546875" style="8" bestFit="1" customWidth="1"/>
    <col min="2317" max="2317" width="9.140625" style="8" customWidth="1"/>
    <col min="2318" max="2318" width="9.5703125" style="8" customWidth="1"/>
    <col min="2319" max="2557" width="8" style="8"/>
    <col min="2558" max="2558" width="4.5703125" style="8" customWidth="1"/>
    <col min="2559" max="2559" width="4.7109375" style="8" customWidth="1"/>
    <col min="2560" max="2560" width="32.140625" style="8" customWidth="1"/>
    <col min="2561" max="2561" width="6.7109375" style="8" bestFit="1" customWidth="1"/>
    <col min="2562" max="2562" width="7.28515625" style="8" customWidth="1"/>
    <col min="2563" max="2563" width="6.28515625" style="8" customWidth="1"/>
    <col min="2564" max="2564" width="6.7109375" style="8" bestFit="1" customWidth="1"/>
    <col min="2565" max="2565" width="6.42578125" style="8" customWidth="1"/>
    <col min="2566" max="2567" width="6.7109375" style="8" bestFit="1" customWidth="1"/>
    <col min="2568" max="2568" width="6.7109375" style="8" customWidth="1"/>
    <col min="2569" max="2569" width="7.85546875" style="8" bestFit="1" customWidth="1"/>
    <col min="2570" max="2570" width="6.42578125" style="8" customWidth="1"/>
    <col min="2571" max="2571" width="7" style="8" bestFit="1" customWidth="1"/>
    <col min="2572" max="2572" width="7.85546875" style="8" bestFit="1" customWidth="1"/>
    <col min="2573" max="2573" width="9.140625" style="8" customWidth="1"/>
    <col min="2574" max="2574" width="9.5703125" style="8" customWidth="1"/>
    <col min="2575" max="2813" width="8" style="8"/>
    <col min="2814" max="2814" width="4.5703125" style="8" customWidth="1"/>
    <col min="2815" max="2815" width="4.7109375" style="8" customWidth="1"/>
    <col min="2816" max="2816" width="32.140625" style="8" customWidth="1"/>
    <col min="2817" max="2817" width="6.7109375" style="8" bestFit="1" customWidth="1"/>
    <col min="2818" max="2818" width="7.28515625" style="8" customWidth="1"/>
    <col min="2819" max="2819" width="6.28515625" style="8" customWidth="1"/>
    <col min="2820" max="2820" width="6.7109375" style="8" bestFit="1" customWidth="1"/>
    <col min="2821" max="2821" width="6.42578125" style="8" customWidth="1"/>
    <col min="2822" max="2823" width="6.7109375" style="8" bestFit="1" customWidth="1"/>
    <col min="2824" max="2824" width="6.7109375" style="8" customWidth="1"/>
    <col min="2825" max="2825" width="7.85546875" style="8" bestFit="1" customWidth="1"/>
    <col min="2826" max="2826" width="6.42578125" style="8" customWidth="1"/>
    <col min="2827" max="2827" width="7" style="8" bestFit="1" customWidth="1"/>
    <col min="2828" max="2828" width="7.85546875" style="8" bestFit="1" customWidth="1"/>
    <col min="2829" max="2829" width="9.140625" style="8" customWidth="1"/>
    <col min="2830" max="2830" width="9.5703125" style="8" customWidth="1"/>
    <col min="2831" max="3069" width="8" style="8"/>
    <col min="3070" max="3070" width="4.5703125" style="8" customWidth="1"/>
    <col min="3071" max="3071" width="4.7109375" style="8" customWidth="1"/>
    <col min="3072" max="3072" width="32.140625" style="8" customWidth="1"/>
    <col min="3073" max="3073" width="6.7109375" style="8" bestFit="1" customWidth="1"/>
    <col min="3074" max="3074" width="7.28515625" style="8" customWidth="1"/>
    <col min="3075" max="3075" width="6.28515625" style="8" customWidth="1"/>
    <col min="3076" max="3076" width="6.7109375" style="8" bestFit="1" customWidth="1"/>
    <col min="3077" max="3077" width="6.42578125" style="8" customWidth="1"/>
    <col min="3078" max="3079" width="6.7109375" style="8" bestFit="1" customWidth="1"/>
    <col min="3080" max="3080" width="6.7109375" style="8" customWidth="1"/>
    <col min="3081" max="3081" width="7.85546875" style="8" bestFit="1" customWidth="1"/>
    <col min="3082" max="3082" width="6.42578125" style="8" customWidth="1"/>
    <col min="3083" max="3083" width="7" style="8" bestFit="1" customWidth="1"/>
    <col min="3084" max="3084" width="7.85546875" style="8" bestFit="1" customWidth="1"/>
    <col min="3085" max="3085" width="9.140625" style="8" customWidth="1"/>
    <col min="3086" max="3086" width="9.5703125" style="8" customWidth="1"/>
    <col min="3087" max="3325" width="8" style="8"/>
    <col min="3326" max="3326" width="4.5703125" style="8" customWidth="1"/>
    <col min="3327" max="3327" width="4.7109375" style="8" customWidth="1"/>
    <col min="3328" max="3328" width="32.140625" style="8" customWidth="1"/>
    <col min="3329" max="3329" width="6.7109375" style="8" bestFit="1" customWidth="1"/>
    <col min="3330" max="3330" width="7.28515625" style="8" customWidth="1"/>
    <col min="3331" max="3331" width="6.28515625" style="8" customWidth="1"/>
    <col min="3332" max="3332" width="6.7109375" style="8" bestFit="1" customWidth="1"/>
    <col min="3333" max="3333" width="6.42578125" style="8" customWidth="1"/>
    <col min="3334" max="3335" width="6.7109375" style="8" bestFit="1" customWidth="1"/>
    <col min="3336" max="3336" width="6.7109375" style="8" customWidth="1"/>
    <col min="3337" max="3337" width="7.85546875" style="8" bestFit="1" customWidth="1"/>
    <col min="3338" max="3338" width="6.42578125" style="8" customWidth="1"/>
    <col min="3339" max="3339" width="7" style="8" bestFit="1" customWidth="1"/>
    <col min="3340" max="3340" width="7.85546875" style="8" bestFit="1" customWidth="1"/>
    <col min="3341" max="3341" width="9.140625" style="8" customWidth="1"/>
    <col min="3342" max="3342" width="9.5703125" style="8" customWidth="1"/>
    <col min="3343" max="3581" width="8" style="8"/>
    <col min="3582" max="3582" width="4.5703125" style="8" customWidth="1"/>
    <col min="3583" max="3583" width="4.7109375" style="8" customWidth="1"/>
    <col min="3584" max="3584" width="32.140625" style="8" customWidth="1"/>
    <col min="3585" max="3585" width="6.7109375" style="8" bestFit="1" customWidth="1"/>
    <col min="3586" max="3586" width="7.28515625" style="8" customWidth="1"/>
    <col min="3587" max="3587" width="6.28515625" style="8" customWidth="1"/>
    <col min="3588" max="3588" width="6.7109375" style="8" bestFit="1" customWidth="1"/>
    <col min="3589" max="3589" width="6.42578125" style="8" customWidth="1"/>
    <col min="3590" max="3591" width="6.7109375" style="8" bestFit="1" customWidth="1"/>
    <col min="3592" max="3592" width="6.7109375" style="8" customWidth="1"/>
    <col min="3593" max="3593" width="7.85546875" style="8" bestFit="1" customWidth="1"/>
    <col min="3594" max="3594" width="6.42578125" style="8" customWidth="1"/>
    <col min="3595" max="3595" width="7" style="8" bestFit="1" customWidth="1"/>
    <col min="3596" max="3596" width="7.85546875" style="8" bestFit="1" customWidth="1"/>
    <col min="3597" max="3597" width="9.140625" style="8" customWidth="1"/>
    <col min="3598" max="3598" width="9.5703125" style="8" customWidth="1"/>
    <col min="3599" max="3837" width="8" style="8"/>
    <col min="3838" max="3838" width="4.5703125" style="8" customWidth="1"/>
    <col min="3839" max="3839" width="4.7109375" style="8" customWidth="1"/>
    <col min="3840" max="3840" width="32.140625" style="8" customWidth="1"/>
    <col min="3841" max="3841" width="6.7109375" style="8" bestFit="1" customWidth="1"/>
    <col min="3842" max="3842" width="7.28515625" style="8" customWidth="1"/>
    <col min="3843" max="3843" width="6.28515625" style="8" customWidth="1"/>
    <col min="3844" max="3844" width="6.7109375" style="8" bestFit="1" customWidth="1"/>
    <col min="3845" max="3845" width="6.42578125" style="8" customWidth="1"/>
    <col min="3846" max="3847" width="6.7109375" style="8" bestFit="1" customWidth="1"/>
    <col min="3848" max="3848" width="6.7109375" style="8" customWidth="1"/>
    <col min="3849" max="3849" width="7.85546875" style="8" bestFit="1" customWidth="1"/>
    <col min="3850" max="3850" width="6.42578125" style="8" customWidth="1"/>
    <col min="3851" max="3851" width="7" style="8" bestFit="1" customWidth="1"/>
    <col min="3852" max="3852" width="7.85546875" style="8" bestFit="1" customWidth="1"/>
    <col min="3853" max="3853" width="9.140625" style="8" customWidth="1"/>
    <col min="3854" max="3854" width="9.5703125" style="8" customWidth="1"/>
    <col min="3855" max="4093" width="8" style="8"/>
    <col min="4094" max="4094" width="4.5703125" style="8" customWidth="1"/>
    <col min="4095" max="4095" width="4.7109375" style="8" customWidth="1"/>
    <col min="4096" max="4096" width="32.140625" style="8" customWidth="1"/>
    <col min="4097" max="4097" width="6.7109375" style="8" bestFit="1" customWidth="1"/>
    <col min="4098" max="4098" width="7.28515625" style="8" customWidth="1"/>
    <col min="4099" max="4099" width="6.28515625" style="8" customWidth="1"/>
    <col min="4100" max="4100" width="6.7109375" style="8" bestFit="1" customWidth="1"/>
    <col min="4101" max="4101" width="6.42578125" style="8" customWidth="1"/>
    <col min="4102" max="4103" width="6.7109375" style="8" bestFit="1" customWidth="1"/>
    <col min="4104" max="4104" width="6.7109375" style="8" customWidth="1"/>
    <col min="4105" max="4105" width="7.85546875" style="8" bestFit="1" customWidth="1"/>
    <col min="4106" max="4106" width="6.42578125" style="8" customWidth="1"/>
    <col min="4107" max="4107" width="7" style="8" bestFit="1" customWidth="1"/>
    <col min="4108" max="4108" width="7.85546875" style="8" bestFit="1" customWidth="1"/>
    <col min="4109" max="4109" width="9.140625" style="8" customWidth="1"/>
    <col min="4110" max="4110" width="9.5703125" style="8" customWidth="1"/>
    <col min="4111" max="4349" width="8" style="8"/>
    <col min="4350" max="4350" width="4.5703125" style="8" customWidth="1"/>
    <col min="4351" max="4351" width="4.7109375" style="8" customWidth="1"/>
    <col min="4352" max="4352" width="32.140625" style="8" customWidth="1"/>
    <col min="4353" max="4353" width="6.7109375" style="8" bestFit="1" customWidth="1"/>
    <col min="4354" max="4354" width="7.28515625" style="8" customWidth="1"/>
    <col min="4355" max="4355" width="6.28515625" style="8" customWidth="1"/>
    <col min="4356" max="4356" width="6.7109375" style="8" bestFit="1" customWidth="1"/>
    <col min="4357" max="4357" width="6.42578125" style="8" customWidth="1"/>
    <col min="4358" max="4359" width="6.7109375" style="8" bestFit="1" customWidth="1"/>
    <col min="4360" max="4360" width="6.7109375" style="8" customWidth="1"/>
    <col min="4361" max="4361" width="7.85546875" style="8" bestFit="1" customWidth="1"/>
    <col min="4362" max="4362" width="6.42578125" style="8" customWidth="1"/>
    <col min="4363" max="4363" width="7" style="8" bestFit="1" customWidth="1"/>
    <col min="4364" max="4364" width="7.85546875" style="8" bestFit="1" customWidth="1"/>
    <col min="4365" max="4365" width="9.140625" style="8" customWidth="1"/>
    <col min="4366" max="4366" width="9.5703125" style="8" customWidth="1"/>
    <col min="4367" max="4605" width="8" style="8"/>
    <col min="4606" max="4606" width="4.5703125" style="8" customWidth="1"/>
    <col min="4607" max="4607" width="4.7109375" style="8" customWidth="1"/>
    <col min="4608" max="4608" width="32.140625" style="8" customWidth="1"/>
    <col min="4609" max="4609" width="6.7109375" style="8" bestFit="1" customWidth="1"/>
    <col min="4610" max="4610" width="7.28515625" style="8" customWidth="1"/>
    <col min="4611" max="4611" width="6.28515625" style="8" customWidth="1"/>
    <col min="4612" max="4612" width="6.7109375" style="8" bestFit="1" customWidth="1"/>
    <col min="4613" max="4613" width="6.42578125" style="8" customWidth="1"/>
    <col min="4614" max="4615" width="6.7109375" style="8" bestFit="1" customWidth="1"/>
    <col min="4616" max="4616" width="6.7109375" style="8" customWidth="1"/>
    <col min="4617" max="4617" width="7.85546875" style="8" bestFit="1" customWidth="1"/>
    <col min="4618" max="4618" width="6.42578125" style="8" customWidth="1"/>
    <col min="4619" max="4619" width="7" style="8" bestFit="1" customWidth="1"/>
    <col min="4620" max="4620" width="7.85546875" style="8" bestFit="1" customWidth="1"/>
    <col min="4621" max="4621" width="9.140625" style="8" customWidth="1"/>
    <col min="4622" max="4622" width="9.5703125" style="8" customWidth="1"/>
    <col min="4623" max="4861" width="8" style="8"/>
    <col min="4862" max="4862" width="4.5703125" style="8" customWidth="1"/>
    <col min="4863" max="4863" width="4.7109375" style="8" customWidth="1"/>
    <col min="4864" max="4864" width="32.140625" style="8" customWidth="1"/>
    <col min="4865" max="4865" width="6.7109375" style="8" bestFit="1" customWidth="1"/>
    <col min="4866" max="4866" width="7.28515625" style="8" customWidth="1"/>
    <col min="4867" max="4867" width="6.28515625" style="8" customWidth="1"/>
    <col min="4868" max="4868" width="6.7109375" style="8" bestFit="1" customWidth="1"/>
    <col min="4869" max="4869" width="6.42578125" style="8" customWidth="1"/>
    <col min="4870" max="4871" width="6.7109375" style="8" bestFit="1" customWidth="1"/>
    <col min="4872" max="4872" width="6.7109375" style="8" customWidth="1"/>
    <col min="4873" max="4873" width="7.85546875" style="8" bestFit="1" customWidth="1"/>
    <col min="4874" max="4874" width="6.42578125" style="8" customWidth="1"/>
    <col min="4875" max="4875" width="7" style="8" bestFit="1" customWidth="1"/>
    <col min="4876" max="4876" width="7.85546875" style="8" bestFit="1" customWidth="1"/>
    <col min="4877" max="4877" width="9.140625" style="8" customWidth="1"/>
    <col min="4878" max="4878" width="9.5703125" style="8" customWidth="1"/>
    <col min="4879" max="5117" width="8" style="8"/>
    <col min="5118" max="5118" width="4.5703125" style="8" customWidth="1"/>
    <col min="5119" max="5119" width="4.7109375" style="8" customWidth="1"/>
    <col min="5120" max="5120" width="32.140625" style="8" customWidth="1"/>
    <col min="5121" max="5121" width="6.7109375" style="8" bestFit="1" customWidth="1"/>
    <col min="5122" max="5122" width="7.28515625" style="8" customWidth="1"/>
    <col min="5123" max="5123" width="6.28515625" style="8" customWidth="1"/>
    <col min="5124" max="5124" width="6.7109375" style="8" bestFit="1" customWidth="1"/>
    <col min="5125" max="5125" width="6.42578125" style="8" customWidth="1"/>
    <col min="5126" max="5127" width="6.7109375" style="8" bestFit="1" customWidth="1"/>
    <col min="5128" max="5128" width="6.7109375" style="8" customWidth="1"/>
    <col min="5129" max="5129" width="7.85546875" style="8" bestFit="1" customWidth="1"/>
    <col min="5130" max="5130" width="6.42578125" style="8" customWidth="1"/>
    <col min="5131" max="5131" width="7" style="8" bestFit="1" customWidth="1"/>
    <col min="5132" max="5132" width="7.85546875" style="8" bestFit="1" customWidth="1"/>
    <col min="5133" max="5133" width="9.140625" style="8" customWidth="1"/>
    <col min="5134" max="5134" width="9.5703125" style="8" customWidth="1"/>
    <col min="5135" max="5373" width="8" style="8"/>
    <col min="5374" max="5374" width="4.5703125" style="8" customWidth="1"/>
    <col min="5375" max="5375" width="4.7109375" style="8" customWidth="1"/>
    <col min="5376" max="5376" width="32.140625" style="8" customWidth="1"/>
    <col min="5377" max="5377" width="6.7109375" style="8" bestFit="1" customWidth="1"/>
    <col min="5378" max="5378" width="7.28515625" style="8" customWidth="1"/>
    <col min="5379" max="5379" width="6.28515625" style="8" customWidth="1"/>
    <col min="5380" max="5380" width="6.7109375" style="8" bestFit="1" customWidth="1"/>
    <col min="5381" max="5381" width="6.42578125" style="8" customWidth="1"/>
    <col min="5382" max="5383" width="6.7109375" style="8" bestFit="1" customWidth="1"/>
    <col min="5384" max="5384" width="6.7109375" style="8" customWidth="1"/>
    <col min="5385" max="5385" width="7.85546875" style="8" bestFit="1" customWidth="1"/>
    <col min="5386" max="5386" width="6.42578125" style="8" customWidth="1"/>
    <col min="5387" max="5387" width="7" style="8" bestFit="1" customWidth="1"/>
    <col min="5388" max="5388" width="7.85546875" style="8" bestFit="1" customWidth="1"/>
    <col min="5389" max="5389" width="9.140625" style="8" customWidth="1"/>
    <col min="5390" max="5390" width="9.5703125" style="8" customWidth="1"/>
    <col min="5391" max="5629" width="8" style="8"/>
    <col min="5630" max="5630" width="4.5703125" style="8" customWidth="1"/>
    <col min="5631" max="5631" width="4.7109375" style="8" customWidth="1"/>
    <col min="5632" max="5632" width="32.140625" style="8" customWidth="1"/>
    <col min="5633" max="5633" width="6.7109375" style="8" bestFit="1" customWidth="1"/>
    <col min="5634" max="5634" width="7.28515625" style="8" customWidth="1"/>
    <col min="5635" max="5635" width="6.28515625" style="8" customWidth="1"/>
    <col min="5636" max="5636" width="6.7109375" style="8" bestFit="1" customWidth="1"/>
    <col min="5637" max="5637" width="6.42578125" style="8" customWidth="1"/>
    <col min="5638" max="5639" width="6.7109375" style="8" bestFit="1" customWidth="1"/>
    <col min="5640" max="5640" width="6.7109375" style="8" customWidth="1"/>
    <col min="5641" max="5641" width="7.85546875" style="8" bestFit="1" customWidth="1"/>
    <col min="5642" max="5642" width="6.42578125" style="8" customWidth="1"/>
    <col min="5643" max="5643" width="7" style="8" bestFit="1" customWidth="1"/>
    <col min="5644" max="5644" width="7.85546875" style="8" bestFit="1" customWidth="1"/>
    <col min="5645" max="5645" width="9.140625" style="8" customWidth="1"/>
    <col min="5646" max="5646" width="9.5703125" style="8" customWidth="1"/>
    <col min="5647" max="5885" width="8" style="8"/>
    <col min="5886" max="5886" width="4.5703125" style="8" customWidth="1"/>
    <col min="5887" max="5887" width="4.7109375" style="8" customWidth="1"/>
    <col min="5888" max="5888" width="32.140625" style="8" customWidth="1"/>
    <col min="5889" max="5889" width="6.7109375" style="8" bestFit="1" customWidth="1"/>
    <col min="5890" max="5890" width="7.28515625" style="8" customWidth="1"/>
    <col min="5891" max="5891" width="6.28515625" style="8" customWidth="1"/>
    <col min="5892" max="5892" width="6.7109375" style="8" bestFit="1" customWidth="1"/>
    <col min="5893" max="5893" width="6.42578125" style="8" customWidth="1"/>
    <col min="5894" max="5895" width="6.7109375" style="8" bestFit="1" customWidth="1"/>
    <col min="5896" max="5896" width="6.7109375" style="8" customWidth="1"/>
    <col min="5897" max="5897" width="7.85546875" style="8" bestFit="1" customWidth="1"/>
    <col min="5898" max="5898" width="6.42578125" style="8" customWidth="1"/>
    <col min="5899" max="5899" width="7" style="8" bestFit="1" customWidth="1"/>
    <col min="5900" max="5900" width="7.85546875" style="8" bestFit="1" customWidth="1"/>
    <col min="5901" max="5901" width="9.140625" style="8" customWidth="1"/>
    <col min="5902" max="5902" width="9.5703125" style="8" customWidth="1"/>
    <col min="5903" max="6141" width="8" style="8"/>
    <col min="6142" max="6142" width="4.5703125" style="8" customWidth="1"/>
    <col min="6143" max="6143" width="4.7109375" style="8" customWidth="1"/>
    <col min="6144" max="6144" width="32.140625" style="8" customWidth="1"/>
    <col min="6145" max="6145" width="6.7109375" style="8" bestFit="1" customWidth="1"/>
    <col min="6146" max="6146" width="7.28515625" style="8" customWidth="1"/>
    <col min="6147" max="6147" width="6.28515625" style="8" customWidth="1"/>
    <col min="6148" max="6148" width="6.7109375" style="8" bestFit="1" customWidth="1"/>
    <col min="6149" max="6149" width="6.42578125" style="8" customWidth="1"/>
    <col min="6150" max="6151" width="6.7109375" style="8" bestFit="1" customWidth="1"/>
    <col min="6152" max="6152" width="6.7109375" style="8" customWidth="1"/>
    <col min="6153" max="6153" width="7.85546875" style="8" bestFit="1" customWidth="1"/>
    <col min="6154" max="6154" width="6.42578125" style="8" customWidth="1"/>
    <col min="6155" max="6155" width="7" style="8" bestFit="1" customWidth="1"/>
    <col min="6156" max="6156" width="7.85546875" style="8" bestFit="1" customWidth="1"/>
    <col min="6157" max="6157" width="9.140625" style="8" customWidth="1"/>
    <col min="6158" max="6158" width="9.5703125" style="8" customWidth="1"/>
    <col min="6159" max="6397" width="8" style="8"/>
    <col min="6398" max="6398" width="4.5703125" style="8" customWidth="1"/>
    <col min="6399" max="6399" width="4.7109375" style="8" customWidth="1"/>
    <col min="6400" max="6400" width="32.140625" style="8" customWidth="1"/>
    <col min="6401" max="6401" width="6.7109375" style="8" bestFit="1" customWidth="1"/>
    <col min="6402" max="6402" width="7.28515625" style="8" customWidth="1"/>
    <col min="6403" max="6403" width="6.28515625" style="8" customWidth="1"/>
    <col min="6404" max="6404" width="6.7109375" style="8" bestFit="1" customWidth="1"/>
    <col min="6405" max="6405" width="6.42578125" style="8" customWidth="1"/>
    <col min="6406" max="6407" width="6.7109375" style="8" bestFit="1" customWidth="1"/>
    <col min="6408" max="6408" width="6.7109375" style="8" customWidth="1"/>
    <col min="6409" max="6409" width="7.85546875" style="8" bestFit="1" customWidth="1"/>
    <col min="6410" max="6410" width="6.42578125" style="8" customWidth="1"/>
    <col min="6411" max="6411" width="7" style="8" bestFit="1" customWidth="1"/>
    <col min="6412" max="6412" width="7.85546875" style="8" bestFit="1" customWidth="1"/>
    <col min="6413" max="6413" width="9.140625" style="8" customWidth="1"/>
    <col min="6414" max="6414" width="9.5703125" style="8" customWidth="1"/>
    <col min="6415" max="6653" width="8" style="8"/>
    <col min="6654" max="6654" width="4.5703125" style="8" customWidth="1"/>
    <col min="6655" max="6655" width="4.7109375" style="8" customWidth="1"/>
    <col min="6656" max="6656" width="32.140625" style="8" customWidth="1"/>
    <col min="6657" max="6657" width="6.7109375" style="8" bestFit="1" customWidth="1"/>
    <col min="6658" max="6658" width="7.28515625" style="8" customWidth="1"/>
    <col min="6659" max="6659" width="6.28515625" style="8" customWidth="1"/>
    <col min="6660" max="6660" width="6.7109375" style="8" bestFit="1" customWidth="1"/>
    <col min="6661" max="6661" width="6.42578125" style="8" customWidth="1"/>
    <col min="6662" max="6663" width="6.7109375" style="8" bestFit="1" customWidth="1"/>
    <col min="6664" max="6664" width="6.7109375" style="8" customWidth="1"/>
    <col min="6665" max="6665" width="7.85546875" style="8" bestFit="1" customWidth="1"/>
    <col min="6666" max="6666" width="6.42578125" style="8" customWidth="1"/>
    <col min="6667" max="6667" width="7" style="8" bestFit="1" customWidth="1"/>
    <col min="6668" max="6668" width="7.85546875" style="8" bestFit="1" customWidth="1"/>
    <col min="6669" max="6669" width="9.140625" style="8" customWidth="1"/>
    <col min="6670" max="6670" width="9.5703125" style="8" customWidth="1"/>
    <col min="6671" max="6909" width="8" style="8"/>
    <col min="6910" max="6910" width="4.5703125" style="8" customWidth="1"/>
    <col min="6911" max="6911" width="4.7109375" style="8" customWidth="1"/>
    <col min="6912" max="6912" width="32.140625" style="8" customWidth="1"/>
    <col min="6913" max="6913" width="6.7109375" style="8" bestFit="1" customWidth="1"/>
    <col min="6914" max="6914" width="7.28515625" style="8" customWidth="1"/>
    <col min="6915" max="6915" width="6.28515625" style="8" customWidth="1"/>
    <col min="6916" max="6916" width="6.7109375" style="8" bestFit="1" customWidth="1"/>
    <col min="6917" max="6917" width="6.42578125" style="8" customWidth="1"/>
    <col min="6918" max="6919" width="6.7109375" style="8" bestFit="1" customWidth="1"/>
    <col min="6920" max="6920" width="6.7109375" style="8" customWidth="1"/>
    <col min="6921" max="6921" width="7.85546875" style="8" bestFit="1" customWidth="1"/>
    <col min="6922" max="6922" width="6.42578125" style="8" customWidth="1"/>
    <col min="6923" max="6923" width="7" style="8" bestFit="1" customWidth="1"/>
    <col min="6924" max="6924" width="7.85546875" style="8" bestFit="1" customWidth="1"/>
    <col min="6925" max="6925" width="9.140625" style="8" customWidth="1"/>
    <col min="6926" max="6926" width="9.5703125" style="8" customWidth="1"/>
    <col min="6927" max="7165" width="8" style="8"/>
    <col min="7166" max="7166" width="4.5703125" style="8" customWidth="1"/>
    <col min="7167" max="7167" width="4.7109375" style="8" customWidth="1"/>
    <col min="7168" max="7168" width="32.140625" style="8" customWidth="1"/>
    <col min="7169" max="7169" width="6.7109375" style="8" bestFit="1" customWidth="1"/>
    <col min="7170" max="7170" width="7.28515625" style="8" customWidth="1"/>
    <col min="7171" max="7171" width="6.28515625" style="8" customWidth="1"/>
    <col min="7172" max="7172" width="6.7109375" style="8" bestFit="1" customWidth="1"/>
    <col min="7173" max="7173" width="6.42578125" style="8" customWidth="1"/>
    <col min="7174" max="7175" width="6.7109375" style="8" bestFit="1" customWidth="1"/>
    <col min="7176" max="7176" width="6.7109375" style="8" customWidth="1"/>
    <col min="7177" max="7177" width="7.85546875" style="8" bestFit="1" customWidth="1"/>
    <col min="7178" max="7178" width="6.42578125" style="8" customWidth="1"/>
    <col min="7179" max="7179" width="7" style="8" bestFit="1" customWidth="1"/>
    <col min="7180" max="7180" width="7.85546875" style="8" bestFit="1" customWidth="1"/>
    <col min="7181" max="7181" width="9.140625" style="8" customWidth="1"/>
    <col min="7182" max="7182" width="9.5703125" style="8" customWidth="1"/>
    <col min="7183" max="7421" width="8" style="8"/>
    <col min="7422" max="7422" width="4.5703125" style="8" customWidth="1"/>
    <col min="7423" max="7423" width="4.7109375" style="8" customWidth="1"/>
    <col min="7424" max="7424" width="32.140625" style="8" customWidth="1"/>
    <col min="7425" max="7425" width="6.7109375" style="8" bestFit="1" customWidth="1"/>
    <col min="7426" max="7426" width="7.28515625" style="8" customWidth="1"/>
    <col min="7427" max="7427" width="6.28515625" style="8" customWidth="1"/>
    <col min="7428" max="7428" width="6.7109375" style="8" bestFit="1" customWidth="1"/>
    <col min="7429" max="7429" width="6.42578125" style="8" customWidth="1"/>
    <col min="7430" max="7431" width="6.7109375" style="8" bestFit="1" customWidth="1"/>
    <col min="7432" max="7432" width="6.7109375" style="8" customWidth="1"/>
    <col min="7433" max="7433" width="7.85546875" style="8" bestFit="1" customWidth="1"/>
    <col min="7434" max="7434" width="6.42578125" style="8" customWidth="1"/>
    <col min="7435" max="7435" width="7" style="8" bestFit="1" customWidth="1"/>
    <col min="7436" max="7436" width="7.85546875" style="8" bestFit="1" customWidth="1"/>
    <col min="7437" max="7437" width="9.140625" style="8" customWidth="1"/>
    <col min="7438" max="7438" width="9.5703125" style="8" customWidth="1"/>
    <col min="7439" max="7677" width="8" style="8"/>
    <col min="7678" max="7678" width="4.5703125" style="8" customWidth="1"/>
    <col min="7679" max="7679" width="4.7109375" style="8" customWidth="1"/>
    <col min="7680" max="7680" width="32.140625" style="8" customWidth="1"/>
    <col min="7681" max="7681" width="6.7109375" style="8" bestFit="1" customWidth="1"/>
    <col min="7682" max="7682" width="7.28515625" style="8" customWidth="1"/>
    <col min="7683" max="7683" width="6.28515625" style="8" customWidth="1"/>
    <col min="7684" max="7684" width="6.7109375" style="8" bestFit="1" customWidth="1"/>
    <col min="7685" max="7685" width="6.42578125" style="8" customWidth="1"/>
    <col min="7686" max="7687" width="6.7109375" style="8" bestFit="1" customWidth="1"/>
    <col min="7688" max="7688" width="6.7109375" style="8" customWidth="1"/>
    <col min="7689" max="7689" width="7.85546875" style="8" bestFit="1" customWidth="1"/>
    <col min="7690" max="7690" width="6.42578125" style="8" customWidth="1"/>
    <col min="7691" max="7691" width="7" style="8" bestFit="1" customWidth="1"/>
    <col min="7692" max="7692" width="7.85546875" style="8" bestFit="1" customWidth="1"/>
    <col min="7693" max="7693" width="9.140625" style="8" customWidth="1"/>
    <col min="7694" max="7694" width="9.5703125" style="8" customWidth="1"/>
    <col min="7695" max="7933" width="8" style="8"/>
    <col min="7934" max="7934" width="4.5703125" style="8" customWidth="1"/>
    <col min="7935" max="7935" width="4.7109375" style="8" customWidth="1"/>
    <col min="7936" max="7936" width="32.140625" style="8" customWidth="1"/>
    <col min="7937" max="7937" width="6.7109375" style="8" bestFit="1" customWidth="1"/>
    <col min="7938" max="7938" width="7.28515625" style="8" customWidth="1"/>
    <col min="7939" max="7939" width="6.28515625" style="8" customWidth="1"/>
    <col min="7940" max="7940" width="6.7109375" style="8" bestFit="1" customWidth="1"/>
    <col min="7941" max="7941" width="6.42578125" style="8" customWidth="1"/>
    <col min="7942" max="7943" width="6.7109375" style="8" bestFit="1" customWidth="1"/>
    <col min="7944" max="7944" width="6.7109375" style="8" customWidth="1"/>
    <col min="7945" max="7945" width="7.85546875" style="8" bestFit="1" customWidth="1"/>
    <col min="7946" max="7946" width="6.42578125" style="8" customWidth="1"/>
    <col min="7947" max="7947" width="7" style="8" bestFit="1" customWidth="1"/>
    <col min="7948" max="7948" width="7.85546875" style="8" bestFit="1" customWidth="1"/>
    <col min="7949" max="7949" width="9.140625" style="8" customWidth="1"/>
    <col min="7950" max="7950" width="9.5703125" style="8" customWidth="1"/>
    <col min="7951" max="8189" width="8" style="8"/>
    <col min="8190" max="8190" width="4.5703125" style="8" customWidth="1"/>
    <col min="8191" max="8191" width="4.7109375" style="8" customWidth="1"/>
    <col min="8192" max="8192" width="32.140625" style="8" customWidth="1"/>
    <col min="8193" max="8193" width="6.7109375" style="8" bestFit="1" customWidth="1"/>
    <col min="8194" max="8194" width="7.28515625" style="8" customWidth="1"/>
    <col min="8195" max="8195" width="6.28515625" style="8" customWidth="1"/>
    <col min="8196" max="8196" width="6.7109375" style="8" bestFit="1" customWidth="1"/>
    <col min="8197" max="8197" width="6.42578125" style="8" customWidth="1"/>
    <col min="8198" max="8199" width="6.7109375" style="8" bestFit="1" customWidth="1"/>
    <col min="8200" max="8200" width="6.7109375" style="8" customWidth="1"/>
    <col min="8201" max="8201" width="7.85546875" style="8" bestFit="1" customWidth="1"/>
    <col min="8202" max="8202" width="6.42578125" style="8" customWidth="1"/>
    <col min="8203" max="8203" width="7" style="8" bestFit="1" customWidth="1"/>
    <col min="8204" max="8204" width="7.85546875" style="8" bestFit="1" customWidth="1"/>
    <col min="8205" max="8205" width="9.140625" style="8" customWidth="1"/>
    <col min="8206" max="8206" width="9.5703125" style="8" customWidth="1"/>
    <col min="8207" max="8445" width="8" style="8"/>
    <col min="8446" max="8446" width="4.5703125" style="8" customWidth="1"/>
    <col min="8447" max="8447" width="4.7109375" style="8" customWidth="1"/>
    <col min="8448" max="8448" width="32.140625" style="8" customWidth="1"/>
    <col min="8449" max="8449" width="6.7109375" style="8" bestFit="1" customWidth="1"/>
    <col min="8450" max="8450" width="7.28515625" style="8" customWidth="1"/>
    <col min="8451" max="8451" width="6.28515625" style="8" customWidth="1"/>
    <col min="8452" max="8452" width="6.7109375" style="8" bestFit="1" customWidth="1"/>
    <col min="8453" max="8453" width="6.42578125" style="8" customWidth="1"/>
    <col min="8454" max="8455" width="6.7109375" style="8" bestFit="1" customWidth="1"/>
    <col min="8456" max="8456" width="6.7109375" style="8" customWidth="1"/>
    <col min="8457" max="8457" width="7.85546875" style="8" bestFit="1" customWidth="1"/>
    <col min="8458" max="8458" width="6.42578125" style="8" customWidth="1"/>
    <col min="8459" max="8459" width="7" style="8" bestFit="1" customWidth="1"/>
    <col min="8460" max="8460" width="7.85546875" style="8" bestFit="1" customWidth="1"/>
    <col min="8461" max="8461" width="9.140625" style="8" customWidth="1"/>
    <col min="8462" max="8462" width="9.5703125" style="8" customWidth="1"/>
    <col min="8463" max="8701" width="8" style="8"/>
    <col min="8702" max="8702" width="4.5703125" style="8" customWidth="1"/>
    <col min="8703" max="8703" width="4.7109375" style="8" customWidth="1"/>
    <col min="8704" max="8704" width="32.140625" style="8" customWidth="1"/>
    <col min="8705" max="8705" width="6.7109375" style="8" bestFit="1" customWidth="1"/>
    <col min="8706" max="8706" width="7.28515625" style="8" customWidth="1"/>
    <col min="8707" max="8707" width="6.28515625" style="8" customWidth="1"/>
    <col min="8708" max="8708" width="6.7109375" style="8" bestFit="1" customWidth="1"/>
    <col min="8709" max="8709" width="6.42578125" style="8" customWidth="1"/>
    <col min="8710" max="8711" width="6.7109375" style="8" bestFit="1" customWidth="1"/>
    <col min="8712" max="8712" width="6.7109375" style="8" customWidth="1"/>
    <col min="8713" max="8713" width="7.85546875" style="8" bestFit="1" customWidth="1"/>
    <col min="8714" max="8714" width="6.42578125" style="8" customWidth="1"/>
    <col min="8715" max="8715" width="7" style="8" bestFit="1" customWidth="1"/>
    <col min="8716" max="8716" width="7.85546875" style="8" bestFit="1" customWidth="1"/>
    <col min="8717" max="8717" width="9.140625" style="8" customWidth="1"/>
    <col min="8718" max="8718" width="9.5703125" style="8" customWidth="1"/>
    <col min="8719" max="8957" width="8" style="8"/>
    <col min="8958" max="8958" width="4.5703125" style="8" customWidth="1"/>
    <col min="8959" max="8959" width="4.7109375" style="8" customWidth="1"/>
    <col min="8960" max="8960" width="32.140625" style="8" customWidth="1"/>
    <col min="8961" max="8961" width="6.7109375" style="8" bestFit="1" customWidth="1"/>
    <col min="8962" max="8962" width="7.28515625" style="8" customWidth="1"/>
    <col min="8963" max="8963" width="6.28515625" style="8" customWidth="1"/>
    <col min="8964" max="8964" width="6.7109375" style="8" bestFit="1" customWidth="1"/>
    <col min="8965" max="8965" width="6.42578125" style="8" customWidth="1"/>
    <col min="8966" max="8967" width="6.7109375" style="8" bestFit="1" customWidth="1"/>
    <col min="8968" max="8968" width="6.7109375" style="8" customWidth="1"/>
    <col min="8969" max="8969" width="7.85546875" style="8" bestFit="1" customWidth="1"/>
    <col min="8970" max="8970" width="6.42578125" style="8" customWidth="1"/>
    <col min="8971" max="8971" width="7" style="8" bestFit="1" customWidth="1"/>
    <col min="8972" max="8972" width="7.85546875" style="8" bestFit="1" customWidth="1"/>
    <col min="8973" max="8973" width="9.140625" style="8" customWidth="1"/>
    <col min="8974" max="8974" width="9.5703125" style="8" customWidth="1"/>
    <col min="8975" max="9213" width="8" style="8"/>
    <col min="9214" max="9214" width="4.5703125" style="8" customWidth="1"/>
    <col min="9215" max="9215" width="4.7109375" style="8" customWidth="1"/>
    <col min="9216" max="9216" width="32.140625" style="8" customWidth="1"/>
    <col min="9217" max="9217" width="6.7109375" style="8" bestFit="1" customWidth="1"/>
    <col min="9218" max="9218" width="7.28515625" style="8" customWidth="1"/>
    <col min="9219" max="9219" width="6.28515625" style="8" customWidth="1"/>
    <col min="9220" max="9220" width="6.7109375" style="8" bestFit="1" customWidth="1"/>
    <col min="9221" max="9221" width="6.42578125" style="8" customWidth="1"/>
    <col min="9222" max="9223" width="6.7109375" style="8" bestFit="1" customWidth="1"/>
    <col min="9224" max="9224" width="6.7109375" style="8" customWidth="1"/>
    <col min="9225" max="9225" width="7.85546875" style="8" bestFit="1" customWidth="1"/>
    <col min="9226" max="9226" width="6.42578125" style="8" customWidth="1"/>
    <col min="9227" max="9227" width="7" style="8" bestFit="1" customWidth="1"/>
    <col min="9228" max="9228" width="7.85546875" style="8" bestFit="1" customWidth="1"/>
    <col min="9229" max="9229" width="9.140625" style="8" customWidth="1"/>
    <col min="9230" max="9230" width="9.5703125" style="8" customWidth="1"/>
    <col min="9231" max="9469" width="8" style="8"/>
    <col min="9470" max="9470" width="4.5703125" style="8" customWidth="1"/>
    <col min="9471" max="9471" width="4.7109375" style="8" customWidth="1"/>
    <col min="9472" max="9472" width="32.140625" style="8" customWidth="1"/>
    <col min="9473" max="9473" width="6.7109375" style="8" bestFit="1" customWidth="1"/>
    <col min="9474" max="9474" width="7.28515625" style="8" customWidth="1"/>
    <col min="9475" max="9475" width="6.28515625" style="8" customWidth="1"/>
    <col min="9476" max="9476" width="6.7109375" style="8" bestFit="1" customWidth="1"/>
    <col min="9477" max="9477" width="6.42578125" style="8" customWidth="1"/>
    <col min="9478" max="9479" width="6.7109375" style="8" bestFit="1" customWidth="1"/>
    <col min="9480" max="9480" width="6.7109375" style="8" customWidth="1"/>
    <col min="9481" max="9481" width="7.85546875" style="8" bestFit="1" customWidth="1"/>
    <col min="9482" max="9482" width="6.42578125" style="8" customWidth="1"/>
    <col min="9483" max="9483" width="7" style="8" bestFit="1" customWidth="1"/>
    <col min="9484" max="9484" width="7.85546875" style="8" bestFit="1" customWidth="1"/>
    <col min="9485" max="9485" width="9.140625" style="8" customWidth="1"/>
    <col min="9486" max="9486" width="9.5703125" style="8" customWidth="1"/>
    <col min="9487" max="9725" width="8" style="8"/>
    <col min="9726" max="9726" width="4.5703125" style="8" customWidth="1"/>
    <col min="9727" max="9727" width="4.7109375" style="8" customWidth="1"/>
    <col min="9728" max="9728" width="32.140625" style="8" customWidth="1"/>
    <col min="9729" max="9729" width="6.7109375" style="8" bestFit="1" customWidth="1"/>
    <col min="9730" max="9730" width="7.28515625" style="8" customWidth="1"/>
    <col min="9731" max="9731" width="6.28515625" style="8" customWidth="1"/>
    <col min="9732" max="9732" width="6.7109375" style="8" bestFit="1" customWidth="1"/>
    <col min="9733" max="9733" width="6.42578125" style="8" customWidth="1"/>
    <col min="9734" max="9735" width="6.7109375" style="8" bestFit="1" customWidth="1"/>
    <col min="9736" max="9736" width="6.7109375" style="8" customWidth="1"/>
    <col min="9737" max="9737" width="7.85546875" style="8" bestFit="1" customWidth="1"/>
    <col min="9738" max="9738" width="6.42578125" style="8" customWidth="1"/>
    <col min="9739" max="9739" width="7" style="8" bestFit="1" customWidth="1"/>
    <col min="9740" max="9740" width="7.85546875" style="8" bestFit="1" customWidth="1"/>
    <col min="9741" max="9741" width="9.140625" style="8" customWidth="1"/>
    <col min="9742" max="9742" width="9.5703125" style="8" customWidth="1"/>
    <col min="9743" max="9981" width="8" style="8"/>
    <col min="9982" max="9982" width="4.5703125" style="8" customWidth="1"/>
    <col min="9983" max="9983" width="4.7109375" style="8" customWidth="1"/>
    <col min="9984" max="9984" width="32.140625" style="8" customWidth="1"/>
    <col min="9985" max="9985" width="6.7109375" style="8" bestFit="1" customWidth="1"/>
    <col min="9986" max="9986" width="7.28515625" style="8" customWidth="1"/>
    <col min="9987" max="9987" width="6.28515625" style="8" customWidth="1"/>
    <col min="9988" max="9988" width="6.7109375" style="8" bestFit="1" customWidth="1"/>
    <col min="9989" max="9989" width="6.42578125" style="8" customWidth="1"/>
    <col min="9990" max="9991" width="6.7109375" style="8" bestFit="1" customWidth="1"/>
    <col min="9992" max="9992" width="6.7109375" style="8" customWidth="1"/>
    <col min="9993" max="9993" width="7.85546875" style="8" bestFit="1" customWidth="1"/>
    <col min="9994" max="9994" width="6.42578125" style="8" customWidth="1"/>
    <col min="9995" max="9995" width="7" style="8" bestFit="1" customWidth="1"/>
    <col min="9996" max="9996" width="7.85546875" style="8" bestFit="1" customWidth="1"/>
    <col min="9997" max="9997" width="9.140625" style="8" customWidth="1"/>
    <col min="9998" max="9998" width="9.5703125" style="8" customWidth="1"/>
    <col min="9999" max="10237" width="8" style="8"/>
    <col min="10238" max="10238" width="4.5703125" style="8" customWidth="1"/>
    <col min="10239" max="10239" width="4.7109375" style="8" customWidth="1"/>
    <col min="10240" max="10240" width="32.140625" style="8" customWidth="1"/>
    <col min="10241" max="10241" width="6.7109375" style="8" bestFit="1" customWidth="1"/>
    <col min="10242" max="10242" width="7.28515625" style="8" customWidth="1"/>
    <col min="10243" max="10243" width="6.28515625" style="8" customWidth="1"/>
    <col min="10244" max="10244" width="6.7109375" style="8" bestFit="1" customWidth="1"/>
    <col min="10245" max="10245" width="6.42578125" style="8" customWidth="1"/>
    <col min="10246" max="10247" width="6.7109375" style="8" bestFit="1" customWidth="1"/>
    <col min="10248" max="10248" width="6.7109375" style="8" customWidth="1"/>
    <col min="10249" max="10249" width="7.85546875" style="8" bestFit="1" customWidth="1"/>
    <col min="10250" max="10250" width="6.42578125" style="8" customWidth="1"/>
    <col min="10251" max="10251" width="7" style="8" bestFit="1" customWidth="1"/>
    <col min="10252" max="10252" width="7.85546875" style="8" bestFit="1" customWidth="1"/>
    <col min="10253" max="10253" width="9.140625" style="8" customWidth="1"/>
    <col min="10254" max="10254" width="9.5703125" style="8" customWidth="1"/>
    <col min="10255" max="10493" width="8" style="8"/>
    <col min="10494" max="10494" width="4.5703125" style="8" customWidth="1"/>
    <col min="10495" max="10495" width="4.7109375" style="8" customWidth="1"/>
    <col min="10496" max="10496" width="32.140625" style="8" customWidth="1"/>
    <col min="10497" max="10497" width="6.7109375" style="8" bestFit="1" customWidth="1"/>
    <col min="10498" max="10498" width="7.28515625" style="8" customWidth="1"/>
    <col min="10499" max="10499" width="6.28515625" style="8" customWidth="1"/>
    <col min="10500" max="10500" width="6.7109375" style="8" bestFit="1" customWidth="1"/>
    <col min="10501" max="10501" width="6.42578125" style="8" customWidth="1"/>
    <col min="10502" max="10503" width="6.7109375" style="8" bestFit="1" customWidth="1"/>
    <col min="10504" max="10504" width="6.7109375" style="8" customWidth="1"/>
    <col min="10505" max="10505" width="7.85546875" style="8" bestFit="1" customWidth="1"/>
    <col min="10506" max="10506" width="6.42578125" style="8" customWidth="1"/>
    <col min="10507" max="10507" width="7" style="8" bestFit="1" customWidth="1"/>
    <col min="10508" max="10508" width="7.85546875" style="8" bestFit="1" customWidth="1"/>
    <col min="10509" max="10509" width="9.140625" style="8" customWidth="1"/>
    <col min="10510" max="10510" width="9.5703125" style="8" customWidth="1"/>
    <col min="10511" max="10749" width="8" style="8"/>
    <col min="10750" max="10750" width="4.5703125" style="8" customWidth="1"/>
    <col min="10751" max="10751" width="4.7109375" style="8" customWidth="1"/>
    <col min="10752" max="10752" width="32.140625" style="8" customWidth="1"/>
    <col min="10753" max="10753" width="6.7109375" style="8" bestFit="1" customWidth="1"/>
    <col min="10754" max="10754" width="7.28515625" style="8" customWidth="1"/>
    <col min="10755" max="10755" width="6.28515625" style="8" customWidth="1"/>
    <col min="10756" max="10756" width="6.7109375" style="8" bestFit="1" customWidth="1"/>
    <col min="10757" max="10757" width="6.42578125" style="8" customWidth="1"/>
    <col min="10758" max="10759" width="6.7109375" style="8" bestFit="1" customWidth="1"/>
    <col min="10760" max="10760" width="6.7109375" style="8" customWidth="1"/>
    <col min="10761" max="10761" width="7.85546875" style="8" bestFit="1" customWidth="1"/>
    <col min="10762" max="10762" width="6.42578125" style="8" customWidth="1"/>
    <col min="10763" max="10763" width="7" style="8" bestFit="1" customWidth="1"/>
    <col min="10764" max="10764" width="7.85546875" style="8" bestFit="1" customWidth="1"/>
    <col min="10765" max="10765" width="9.140625" style="8" customWidth="1"/>
    <col min="10766" max="10766" width="9.5703125" style="8" customWidth="1"/>
    <col min="10767" max="11005" width="8" style="8"/>
    <col min="11006" max="11006" width="4.5703125" style="8" customWidth="1"/>
    <col min="11007" max="11007" width="4.7109375" style="8" customWidth="1"/>
    <col min="11008" max="11008" width="32.140625" style="8" customWidth="1"/>
    <col min="11009" max="11009" width="6.7109375" style="8" bestFit="1" customWidth="1"/>
    <col min="11010" max="11010" width="7.28515625" style="8" customWidth="1"/>
    <col min="11011" max="11011" width="6.28515625" style="8" customWidth="1"/>
    <col min="11012" max="11012" width="6.7109375" style="8" bestFit="1" customWidth="1"/>
    <col min="11013" max="11013" width="6.42578125" style="8" customWidth="1"/>
    <col min="11014" max="11015" width="6.7109375" style="8" bestFit="1" customWidth="1"/>
    <col min="11016" max="11016" width="6.7109375" style="8" customWidth="1"/>
    <col min="11017" max="11017" width="7.85546875" style="8" bestFit="1" customWidth="1"/>
    <col min="11018" max="11018" width="6.42578125" style="8" customWidth="1"/>
    <col min="11019" max="11019" width="7" style="8" bestFit="1" customWidth="1"/>
    <col min="11020" max="11020" width="7.85546875" style="8" bestFit="1" customWidth="1"/>
    <col min="11021" max="11021" width="9.140625" style="8" customWidth="1"/>
    <col min="11022" max="11022" width="9.5703125" style="8" customWidth="1"/>
    <col min="11023" max="11261" width="8" style="8"/>
    <col min="11262" max="11262" width="4.5703125" style="8" customWidth="1"/>
    <col min="11263" max="11263" width="4.7109375" style="8" customWidth="1"/>
    <col min="11264" max="11264" width="32.140625" style="8" customWidth="1"/>
    <col min="11265" max="11265" width="6.7109375" style="8" bestFit="1" customWidth="1"/>
    <col min="11266" max="11266" width="7.28515625" style="8" customWidth="1"/>
    <col min="11267" max="11267" width="6.28515625" style="8" customWidth="1"/>
    <col min="11268" max="11268" width="6.7109375" style="8" bestFit="1" customWidth="1"/>
    <col min="11269" max="11269" width="6.42578125" style="8" customWidth="1"/>
    <col min="11270" max="11271" width="6.7109375" style="8" bestFit="1" customWidth="1"/>
    <col min="11272" max="11272" width="6.7109375" style="8" customWidth="1"/>
    <col min="11273" max="11273" width="7.85546875" style="8" bestFit="1" customWidth="1"/>
    <col min="11274" max="11274" width="6.42578125" style="8" customWidth="1"/>
    <col min="11275" max="11275" width="7" style="8" bestFit="1" customWidth="1"/>
    <col min="11276" max="11276" width="7.85546875" style="8" bestFit="1" customWidth="1"/>
    <col min="11277" max="11277" width="9.140625" style="8" customWidth="1"/>
    <col min="11278" max="11278" width="9.5703125" style="8" customWidth="1"/>
    <col min="11279" max="11517" width="8" style="8"/>
    <col min="11518" max="11518" width="4.5703125" style="8" customWidth="1"/>
    <col min="11519" max="11519" width="4.7109375" style="8" customWidth="1"/>
    <col min="11520" max="11520" width="32.140625" style="8" customWidth="1"/>
    <col min="11521" max="11521" width="6.7109375" style="8" bestFit="1" customWidth="1"/>
    <col min="11522" max="11522" width="7.28515625" style="8" customWidth="1"/>
    <col min="11523" max="11523" width="6.28515625" style="8" customWidth="1"/>
    <col min="11524" max="11524" width="6.7109375" style="8" bestFit="1" customWidth="1"/>
    <col min="11525" max="11525" width="6.42578125" style="8" customWidth="1"/>
    <col min="11526" max="11527" width="6.7109375" style="8" bestFit="1" customWidth="1"/>
    <col min="11528" max="11528" width="6.7109375" style="8" customWidth="1"/>
    <col min="11529" max="11529" width="7.85546875" style="8" bestFit="1" customWidth="1"/>
    <col min="11530" max="11530" width="6.42578125" style="8" customWidth="1"/>
    <col min="11531" max="11531" width="7" style="8" bestFit="1" customWidth="1"/>
    <col min="11532" max="11532" width="7.85546875" style="8" bestFit="1" customWidth="1"/>
    <col min="11533" max="11533" width="9.140625" style="8" customWidth="1"/>
    <col min="11534" max="11534" width="9.5703125" style="8" customWidth="1"/>
    <col min="11535" max="11773" width="8" style="8"/>
    <col min="11774" max="11774" width="4.5703125" style="8" customWidth="1"/>
    <col min="11775" max="11775" width="4.7109375" style="8" customWidth="1"/>
    <col min="11776" max="11776" width="32.140625" style="8" customWidth="1"/>
    <col min="11777" max="11777" width="6.7109375" style="8" bestFit="1" customWidth="1"/>
    <col min="11778" max="11778" width="7.28515625" style="8" customWidth="1"/>
    <col min="11779" max="11779" width="6.28515625" style="8" customWidth="1"/>
    <col min="11780" max="11780" width="6.7109375" style="8" bestFit="1" customWidth="1"/>
    <col min="11781" max="11781" width="6.42578125" style="8" customWidth="1"/>
    <col min="11782" max="11783" width="6.7109375" style="8" bestFit="1" customWidth="1"/>
    <col min="11784" max="11784" width="6.7109375" style="8" customWidth="1"/>
    <col min="11785" max="11785" width="7.85546875" style="8" bestFit="1" customWidth="1"/>
    <col min="11786" max="11786" width="6.42578125" style="8" customWidth="1"/>
    <col min="11787" max="11787" width="7" style="8" bestFit="1" customWidth="1"/>
    <col min="11788" max="11788" width="7.85546875" style="8" bestFit="1" customWidth="1"/>
    <col min="11789" max="11789" width="9.140625" style="8" customWidth="1"/>
    <col min="11790" max="11790" width="9.5703125" style="8" customWidth="1"/>
    <col min="11791" max="12029" width="8" style="8"/>
    <col min="12030" max="12030" width="4.5703125" style="8" customWidth="1"/>
    <col min="12031" max="12031" width="4.7109375" style="8" customWidth="1"/>
    <col min="12032" max="12032" width="32.140625" style="8" customWidth="1"/>
    <col min="12033" max="12033" width="6.7109375" style="8" bestFit="1" customWidth="1"/>
    <col min="12034" max="12034" width="7.28515625" style="8" customWidth="1"/>
    <col min="12035" max="12035" width="6.28515625" style="8" customWidth="1"/>
    <col min="12036" max="12036" width="6.7109375" style="8" bestFit="1" customWidth="1"/>
    <col min="12037" max="12037" width="6.42578125" style="8" customWidth="1"/>
    <col min="12038" max="12039" width="6.7109375" style="8" bestFit="1" customWidth="1"/>
    <col min="12040" max="12040" width="6.7109375" style="8" customWidth="1"/>
    <col min="12041" max="12041" width="7.85546875" style="8" bestFit="1" customWidth="1"/>
    <col min="12042" max="12042" width="6.42578125" style="8" customWidth="1"/>
    <col min="12043" max="12043" width="7" style="8" bestFit="1" customWidth="1"/>
    <col min="12044" max="12044" width="7.85546875" style="8" bestFit="1" customWidth="1"/>
    <col min="12045" max="12045" width="9.140625" style="8" customWidth="1"/>
    <col min="12046" max="12046" width="9.5703125" style="8" customWidth="1"/>
    <col min="12047" max="12285" width="8" style="8"/>
    <col min="12286" max="12286" width="4.5703125" style="8" customWidth="1"/>
    <col min="12287" max="12287" width="4.7109375" style="8" customWidth="1"/>
    <col min="12288" max="12288" width="32.140625" style="8" customWidth="1"/>
    <col min="12289" max="12289" width="6.7109375" style="8" bestFit="1" customWidth="1"/>
    <col min="12290" max="12290" width="7.28515625" style="8" customWidth="1"/>
    <col min="12291" max="12291" width="6.28515625" style="8" customWidth="1"/>
    <col min="12292" max="12292" width="6.7109375" style="8" bestFit="1" customWidth="1"/>
    <col min="12293" max="12293" width="6.42578125" style="8" customWidth="1"/>
    <col min="12294" max="12295" width="6.7109375" style="8" bestFit="1" customWidth="1"/>
    <col min="12296" max="12296" width="6.7109375" style="8" customWidth="1"/>
    <col min="12297" max="12297" width="7.85546875" style="8" bestFit="1" customWidth="1"/>
    <col min="12298" max="12298" width="6.42578125" style="8" customWidth="1"/>
    <col min="12299" max="12299" width="7" style="8" bestFit="1" customWidth="1"/>
    <col min="12300" max="12300" width="7.85546875" style="8" bestFit="1" customWidth="1"/>
    <col min="12301" max="12301" width="9.140625" style="8" customWidth="1"/>
    <col min="12302" max="12302" width="9.5703125" style="8" customWidth="1"/>
    <col min="12303" max="12541" width="8" style="8"/>
    <col min="12542" max="12542" width="4.5703125" style="8" customWidth="1"/>
    <col min="12543" max="12543" width="4.7109375" style="8" customWidth="1"/>
    <col min="12544" max="12544" width="32.140625" style="8" customWidth="1"/>
    <col min="12545" max="12545" width="6.7109375" style="8" bestFit="1" customWidth="1"/>
    <col min="12546" max="12546" width="7.28515625" style="8" customWidth="1"/>
    <col min="12547" max="12547" width="6.28515625" style="8" customWidth="1"/>
    <col min="12548" max="12548" width="6.7109375" style="8" bestFit="1" customWidth="1"/>
    <col min="12549" max="12549" width="6.42578125" style="8" customWidth="1"/>
    <col min="12550" max="12551" width="6.7109375" style="8" bestFit="1" customWidth="1"/>
    <col min="12552" max="12552" width="6.7109375" style="8" customWidth="1"/>
    <col min="12553" max="12553" width="7.85546875" style="8" bestFit="1" customWidth="1"/>
    <col min="12554" max="12554" width="6.42578125" style="8" customWidth="1"/>
    <col min="12555" max="12555" width="7" style="8" bestFit="1" customWidth="1"/>
    <col min="12556" max="12556" width="7.85546875" style="8" bestFit="1" customWidth="1"/>
    <col min="12557" max="12557" width="9.140625" style="8" customWidth="1"/>
    <col min="12558" max="12558" width="9.5703125" style="8" customWidth="1"/>
    <col min="12559" max="12797" width="8" style="8"/>
    <col min="12798" max="12798" width="4.5703125" style="8" customWidth="1"/>
    <col min="12799" max="12799" width="4.7109375" style="8" customWidth="1"/>
    <col min="12800" max="12800" width="32.140625" style="8" customWidth="1"/>
    <col min="12801" max="12801" width="6.7109375" style="8" bestFit="1" customWidth="1"/>
    <col min="12802" max="12802" width="7.28515625" style="8" customWidth="1"/>
    <col min="12803" max="12803" width="6.28515625" style="8" customWidth="1"/>
    <col min="12804" max="12804" width="6.7109375" style="8" bestFit="1" customWidth="1"/>
    <col min="12805" max="12805" width="6.42578125" style="8" customWidth="1"/>
    <col min="12806" max="12807" width="6.7109375" style="8" bestFit="1" customWidth="1"/>
    <col min="12808" max="12808" width="6.7109375" style="8" customWidth="1"/>
    <col min="12809" max="12809" width="7.85546875" style="8" bestFit="1" customWidth="1"/>
    <col min="12810" max="12810" width="6.42578125" style="8" customWidth="1"/>
    <col min="12811" max="12811" width="7" style="8" bestFit="1" customWidth="1"/>
    <col min="12812" max="12812" width="7.85546875" style="8" bestFit="1" customWidth="1"/>
    <col min="12813" max="12813" width="9.140625" style="8" customWidth="1"/>
    <col min="12814" max="12814" width="9.5703125" style="8" customWidth="1"/>
    <col min="12815" max="13053" width="8" style="8"/>
    <col min="13054" max="13054" width="4.5703125" style="8" customWidth="1"/>
    <col min="13055" max="13055" width="4.7109375" style="8" customWidth="1"/>
    <col min="13056" max="13056" width="32.140625" style="8" customWidth="1"/>
    <col min="13057" max="13057" width="6.7109375" style="8" bestFit="1" customWidth="1"/>
    <col min="13058" max="13058" width="7.28515625" style="8" customWidth="1"/>
    <col min="13059" max="13059" width="6.28515625" style="8" customWidth="1"/>
    <col min="13060" max="13060" width="6.7109375" style="8" bestFit="1" customWidth="1"/>
    <col min="13061" max="13061" width="6.42578125" style="8" customWidth="1"/>
    <col min="13062" max="13063" width="6.7109375" style="8" bestFit="1" customWidth="1"/>
    <col min="13064" max="13064" width="6.7109375" style="8" customWidth="1"/>
    <col min="13065" max="13065" width="7.85546875" style="8" bestFit="1" customWidth="1"/>
    <col min="13066" max="13066" width="6.42578125" style="8" customWidth="1"/>
    <col min="13067" max="13067" width="7" style="8" bestFit="1" customWidth="1"/>
    <col min="13068" max="13068" width="7.85546875" style="8" bestFit="1" customWidth="1"/>
    <col min="13069" max="13069" width="9.140625" style="8" customWidth="1"/>
    <col min="13070" max="13070" width="9.5703125" style="8" customWidth="1"/>
    <col min="13071" max="13309" width="8" style="8"/>
    <col min="13310" max="13310" width="4.5703125" style="8" customWidth="1"/>
    <col min="13311" max="13311" width="4.7109375" style="8" customWidth="1"/>
    <col min="13312" max="13312" width="32.140625" style="8" customWidth="1"/>
    <col min="13313" max="13313" width="6.7109375" style="8" bestFit="1" customWidth="1"/>
    <col min="13314" max="13314" width="7.28515625" style="8" customWidth="1"/>
    <col min="13315" max="13315" width="6.28515625" style="8" customWidth="1"/>
    <col min="13316" max="13316" width="6.7109375" style="8" bestFit="1" customWidth="1"/>
    <col min="13317" max="13317" width="6.42578125" style="8" customWidth="1"/>
    <col min="13318" max="13319" width="6.7109375" style="8" bestFit="1" customWidth="1"/>
    <col min="13320" max="13320" width="6.7109375" style="8" customWidth="1"/>
    <col min="13321" max="13321" width="7.85546875" style="8" bestFit="1" customWidth="1"/>
    <col min="13322" max="13322" width="6.42578125" style="8" customWidth="1"/>
    <col min="13323" max="13323" width="7" style="8" bestFit="1" customWidth="1"/>
    <col min="13324" max="13324" width="7.85546875" style="8" bestFit="1" customWidth="1"/>
    <col min="13325" max="13325" width="9.140625" style="8" customWidth="1"/>
    <col min="13326" max="13326" width="9.5703125" style="8" customWidth="1"/>
    <col min="13327" max="13565" width="8" style="8"/>
    <col min="13566" max="13566" width="4.5703125" style="8" customWidth="1"/>
    <col min="13567" max="13567" width="4.7109375" style="8" customWidth="1"/>
    <col min="13568" max="13568" width="32.140625" style="8" customWidth="1"/>
    <col min="13569" max="13569" width="6.7109375" style="8" bestFit="1" customWidth="1"/>
    <col min="13570" max="13570" width="7.28515625" style="8" customWidth="1"/>
    <col min="13571" max="13571" width="6.28515625" style="8" customWidth="1"/>
    <col min="13572" max="13572" width="6.7109375" style="8" bestFit="1" customWidth="1"/>
    <col min="13573" max="13573" width="6.42578125" style="8" customWidth="1"/>
    <col min="13574" max="13575" width="6.7109375" style="8" bestFit="1" customWidth="1"/>
    <col min="13576" max="13576" width="6.7109375" style="8" customWidth="1"/>
    <col min="13577" max="13577" width="7.85546875" style="8" bestFit="1" customWidth="1"/>
    <col min="13578" max="13578" width="6.42578125" style="8" customWidth="1"/>
    <col min="13579" max="13579" width="7" style="8" bestFit="1" customWidth="1"/>
    <col min="13580" max="13580" width="7.85546875" style="8" bestFit="1" customWidth="1"/>
    <col min="13581" max="13581" width="9.140625" style="8" customWidth="1"/>
    <col min="13582" max="13582" width="9.5703125" style="8" customWidth="1"/>
    <col min="13583" max="13821" width="8" style="8"/>
    <col min="13822" max="13822" width="4.5703125" style="8" customWidth="1"/>
    <col min="13823" max="13823" width="4.7109375" style="8" customWidth="1"/>
    <col min="13824" max="13824" width="32.140625" style="8" customWidth="1"/>
    <col min="13825" max="13825" width="6.7109375" style="8" bestFit="1" customWidth="1"/>
    <col min="13826" max="13826" width="7.28515625" style="8" customWidth="1"/>
    <col min="13827" max="13827" width="6.28515625" style="8" customWidth="1"/>
    <col min="13828" max="13828" width="6.7109375" style="8" bestFit="1" customWidth="1"/>
    <col min="13829" max="13829" width="6.42578125" style="8" customWidth="1"/>
    <col min="13830" max="13831" width="6.7109375" style="8" bestFit="1" customWidth="1"/>
    <col min="13832" max="13832" width="6.7109375" style="8" customWidth="1"/>
    <col min="13833" max="13833" width="7.85546875" style="8" bestFit="1" customWidth="1"/>
    <col min="13834" max="13834" width="6.42578125" style="8" customWidth="1"/>
    <col min="13835" max="13835" width="7" style="8" bestFit="1" customWidth="1"/>
    <col min="13836" max="13836" width="7.85546875" style="8" bestFit="1" customWidth="1"/>
    <col min="13837" max="13837" width="9.140625" style="8" customWidth="1"/>
    <col min="13838" max="13838" width="9.5703125" style="8" customWidth="1"/>
    <col min="13839" max="14077" width="8" style="8"/>
    <col min="14078" max="14078" width="4.5703125" style="8" customWidth="1"/>
    <col min="14079" max="14079" width="4.7109375" style="8" customWidth="1"/>
    <col min="14080" max="14080" width="32.140625" style="8" customWidth="1"/>
    <col min="14081" max="14081" width="6.7109375" style="8" bestFit="1" customWidth="1"/>
    <col min="14082" max="14082" width="7.28515625" style="8" customWidth="1"/>
    <col min="14083" max="14083" width="6.28515625" style="8" customWidth="1"/>
    <col min="14084" max="14084" width="6.7109375" style="8" bestFit="1" customWidth="1"/>
    <col min="14085" max="14085" width="6.42578125" style="8" customWidth="1"/>
    <col min="14086" max="14087" width="6.7109375" style="8" bestFit="1" customWidth="1"/>
    <col min="14088" max="14088" width="6.7109375" style="8" customWidth="1"/>
    <col min="14089" max="14089" width="7.85546875" style="8" bestFit="1" customWidth="1"/>
    <col min="14090" max="14090" width="6.42578125" style="8" customWidth="1"/>
    <col min="14091" max="14091" width="7" style="8" bestFit="1" customWidth="1"/>
    <col min="14092" max="14092" width="7.85546875" style="8" bestFit="1" customWidth="1"/>
    <col min="14093" max="14093" width="9.140625" style="8" customWidth="1"/>
    <col min="14094" max="14094" width="9.5703125" style="8" customWidth="1"/>
    <col min="14095" max="14333" width="8" style="8"/>
    <col min="14334" max="14334" width="4.5703125" style="8" customWidth="1"/>
    <col min="14335" max="14335" width="4.7109375" style="8" customWidth="1"/>
    <col min="14336" max="14336" width="32.140625" style="8" customWidth="1"/>
    <col min="14337" max="14337" width="6.7109375" style="8" bestFit="1" customWidth="1"/>
    <col min="14338" max="14338" width="7.28515625" style="8" customWidth="1"/>
    <col min="14339" max="14339" width="6.28515625" style="8" customWidth="1"/>
    <col min="14340" max="14340" width="6.7109375" style="8" bestFit="1" customWidth="1"/>
    <col min="14341" max="14341" width="6.42578125" style="8" customWidth="1"/>
    <col min="14342" max="14343" width="6.7109375" style="8" bestFit="1" customWidth="1"/>
    <col min="14344" max="14344" width="6.7109375" style="8" customWidth="1"/>
    <col min="14345" max="14345" width="7.85546875" style="8" bestFit="1" customWidth="1"/>
    <col min="14346" max="14346" width="6.42578125" style="8" customWidth="1"/>
    <col min="14347" max="14347" width="7" style="8" bestFit="1" customWidth="1"/>
    <col min="14348" max="14348" width="7.85546875" style="8" bestFit="1" customWidth="1"/>
    <col min="14349" max="14349" width="9.140625" style="8" customWidth="1"/>
    <col min="14350" max="14350" width="9.5703125" style="8" customWidth="1"/>
    <col min="14351" max="14589" width="8" style="8"/>
    <col min="14590" max="14590" width="4.5703125" style="8" customWidth="1"/>
    <col min="14591" max="14591" width="4.7109375" style="8" customWidth="1"/>
    <col min="14592" max="14592" width="32.140625" style="8" customWidth="1"/>
    <col min="14593" max="14593" width="6.7109375" style="8" bestFit="1" customWidth="1"/>
    <col min="14594" max="14594" width="7.28515625" style="8" customWidth="1"/>
    <col min="14595" max="14595" width="6.28515625" style="8" customWidth="1"/>
    <col min="14596" max="14596" width="6.7109375" style="8" bestFit="1" customWidth="1"/>
    <col min="14597" max="14597" width="6.42578125" style="8" customWidth="1"/>
    <col min="14598" max="14599" width="6.7109375" style="8" bestFit="1" customWidth="1"/>
    <col min="14600" max="14600" width="6.7109375" style="8" customWidth="1"/>
    <col min="14601" max="14601" width="7.85546875" style="8" bestFit="1" customWidth="1"/>
    <col min="14602" max="14602" width="6.42578125" style="8" customWidth="1"/>
    <col min="14603" max="14603" width="7" style="8" bestFit="1" customWidth="1"/>
    <col min="14604" max="14604" width="7.85546875" style="8" bestFit="1" customWidth="1"/>
    <col min="14605" max="14605" width="9.140625" style="8" customWidth="1"/>
    <col min="14606" max="14606" width="9.5703125" style="8" customWidth="1"/>
    <col min="14607" max="14845" width="8" style="8"/>
    <col min="14846" max="14846" width="4.5703125" style="8" customWidth="1"/>
    <col min="14847" max="14847" width="4.7109375" style="8" customWidth="1"/>
    <col min="14848" max="14848" width="32.140625" style="8" customWidth="1"/>
    <col min="14849" max="14849" width="6.7109375" style="8" bestFit="1" customWidth="1"/>
    <col min="14850" max="14850" width="7.28515625" style="8" customWidth="1"/>
    <col min="14851" max="14851" width="6.28515625" style="8" customWidth="1"/>
    <col min="14852" max="14852" width="6.7109375" style="8" bestFit="1" customWidth="1"/>
    <col min="14853" max="14853" width="6.42578125" style="8" customWidth="1"/>
    <col min="14854" max="14855" width="6.7109375" style="8" bestFit="1" customWidth="1"/>
    <col min="14856" max="14856" width="6.7109375" style="8" customWidth="1"/>
    <col min="14857" max="14857" width="7.85546875" style="8" bestFit="1" customWidth="1"/>
    <col min="14858" max="14858" width="6.42578125" style="8" customWidth="1"/>
    <col min="14859" max="14859" width="7" style="8" bestFit="1" customWidth="1"/>
    <col min="14860" max="14860" width="7.85546875" style="8" bestFit="1" customWidth="1"/>
    <col min="14861" max="14861" width="9.140625" style="8" customWidth="1"/>
    <col min="14862" max="14862" width="9.5703125" style="8" customWidth="1"/>
    <col min="14863" max="15101" width="8" style="8"/>
    <col min="15102" max="15102" width="4.5703125" style="8" customWidth="1"/>
    <col min="15103" max="15103" width="4.7109375" style="8" customWidth="1"/>
    <col min="15104" max="15104" width="32.140625" style="8" customWidth="1"/>
    <col min="15105" max="15105" width="6.7109375" style="8" bestFit="1" customWidth="1"/>
    <col min="15106" max="15106" width="7.28515625" style="8" customWidth="1"/>
    <col min="15107" max="15107" width="6.28515625" style="8" customWidth="1"/>
    <col min="15108" max="15108" width="6.7109375" style="8" bestFit="1" customWidth="1"/>
    <col min="15109" max="15109" width="6.42578125" style="8" customWidth="1"/>
    <col min="15110" max="15111" width="6.7109375" style="8" bestFit="1" customWidth="1"/>
    <col min="15112" max="15112" width="6.7109375" style="8" customWidth="1"/>
    <col min="15113" max="15113" width="7.85546875" style="8" bestFit="1" customWidth="1"/>
    <col min="15114" max="15114" width="6.42578125" style="8" customWidth="1"/>
    <col min="15115" max="15115" width="7" style="8" bestFit="1" customWidth="1"/>
    <col min="15116" max="15116" width="7.85546875" style="8" bestFit="1" customWidth="1"/>
    <col min="15117" max="15117" width="9.140625" style="8" customWidth="1"/>
    <col min="15118" max="15118" width="9.5703125" style="8" customWidth="1"/>
    <col min="15119" max="15357" width="8" style="8"/>
    <col min="15358" max="15358" width="4.5703125" style="8" customWidth="1"/>
    <col min="15359" max="15359" width="4.7109375" style="8" customWidth="1"/>
    <col min="15360" max="15360" width="32.140625" style="8" customWidth="1"/>
    <col min="15361" max="15361" width="6.7109375" style="8" bestFit="1" customWidth="1"/>
    <col min="15362" max="15362" width="7.28515625" style="8" customWidth="1"/>
    <col min="15363" max="15363" width="6.28515625" style="8" customWidth="1"/>
    <col min="15364" max="15364" width="6.7109375" style="8" bestFit="1" customWidth="1"/>
    <col min="15365" max="15365" width="6.42578125" style="8" customWidth="1"/>
    <col min="15366" max="15367" width="6.7109375" style="8" bestFit="1" customWidth="1"/>
    <col min="15368" max="15368" width="6.7109375" style="8" customWidth="1"/>
    <col min="15369" max="15369" width="7.85546875" style="8" bestFit="1" customWidth="1"/>
    <col min="15370" max="15370" width="6.42578125" style="8" customWidth="1"/>
    <col min="15371" max="15371" width="7" style="8" bestFit="1" customWidth="1"/>
    <col min="15372" max="15372" width="7.85546875" style="8" bestFit="1" customWidth="1"/>
    <col min="15373" max="15373" width="9.140625" style="8" customWidth="1"/>
    <col min="15374" max="15374" width="9.5703125" style="8" customWidth="1"/>
    <col min="15375" max="15613" width="8" style="8"/>
    <col min="15614" max="15614" width="4.5703125" style="8" customWidth="1"/>
    <col min="15615" max="15615" width="4.7109375" style="8" customWidth="1"/>
    <col min="15616" max="15616" width="32.140625" style="8" customWidth="1"/>
    <col min="15617" max="15617" width="6.7109375" style="8" bestFit="1" customWidth="1"/>
    <col min="15618" max="15618" width="7.28515625" style="8" customWidth="1"/>
    <col min="15619" max="15619" width="6.28515625" style="8" customWidth="1"/>
    <col min="15620" max="15620" width="6.7109375" style="8" bestFit="1" customWidth="1"/>
    <col min="15621" max="15621" width="6.42578125" style="8" customWidth="1"/>
    <col min="15622" max="15623" width="6.7109375" style="8" bestFit="1" customWidth="1"/>
    <col min="15624" max="15624" width="6.7109375" style="8" customWidth="1"/>
    <col min="15625" max="15625" width="7.85546875" style="8" bestFit="1" customWidth="1"/>
    <col min="15626" max="15626" width="6.42578125" style="8" customWidth="1"/>
    <col min="15627" max="15627" width="7" style="8" bestFit="1" customWidth="1"/>
    <col min="15628" max="15628" width="7.85546875" style="8" bestFit="1" customWidth="1"/>
    <col min="15629" max="15629" width="9.140625" style="8" customWidth="1"/>
    <col min="15630" max="15630" width="9.5703125" style="8" customWidth="1"/>
    <col min="15631" max="15869" width="8" style="8"/>
    <col min="15870" max="15870" width="4.5703125" style="8" customWidth="1"/>
    <col min="15871" max="15871" width="4.7109375" style="8" customWidth="1"/>
    <col min="15872" max="15872" width="32.140625" style="8" customWidth="1"/>
    <col min="15873" max="15873" width="6.7109375" style="8" bestFit="1" customWidth="1"/>
    <col min="15874" max="15874" width="7.28515625" style="8" customWidth="1"/>
    <col min="15875" max="15875" width="6.28515625" style="8" customWidth="1"/>
    <col min="15876" max="15876" width="6.7109375" style="8" bestFit="1" customWidth="1"/>
    <col min="15877" max="15877" width="6.42578125" style="8" customWidth="1"/>
    <col min="15878" max="15879" width="6.7109375" style="8" bestFit="1" customWidth="1"/>
    <col min="15880" max="15880" width="6.7109375" style="8" customWidth="1"/>
    <col min="15881" max="15881" width="7.85546875" style="8" bestFit="1" customWidth="1"/>
    <col min="15882" max="15882" width="6.42578125" style="8" customWidth="1"/>
    <col min="15883" max="15883" width="7" style="8" bestFit="1" customWidth="1"/>
    <col min="15884" max="15884" width="7.85546875" style="8" bestFit="1" customWidth="1"/>
    <col min="15885" max="15885" width="9.140625" style="8" customWidth="1"/>
    <col min="15886" max="15886" width="9.5703125" style="8" customWidth="1"/>
    <col min="15887" max="16125" width="8" style="8"/>
    <col min="16126" max="16126" width="4.5703125" style="8" customWidth="1"/>
    <col min="16127" max="16127" width="4.7109375" style="8" customWidth="1"/>
    <col min="16128" max="16128" width="32.140625" style="8" customWidth="1"/>
    <col min="16129" max="16129" width="6.7109375" style="8" bestFit="1" customWidth="1"/>
    <col min="16130" max="16130" width="7.28515625" style="8" customWidth="1"/>
    <col min="16131" max="16131" width="6.28515625" style="8" customWidth="1"/>
    <col min="16132" max="16132" width="6.7109375" style="8" bestFit="1" customWidth="1"/>
    <col min="16133" max="16133" width="6.42578125" style="8" customWidth="1"/>
    <col min="16134" max="16135" width="6.7109375" style="8" bestFit="1" customWidth="1"/>
    <col min="16136" max="16136" width="6.7109375" style="8" customWidth="1"/>
    <col min="16137" max="16137" width="7.85546875" style="8" bestFit="1" customWidth="1"/>
    <col min="16138" max="16138" width="6.42578125" style="8" customWidth="1"/>
    <col min="16139" max="16139" width="7" style="8" bestFit="1" customWidth="1"/>
    <col min="16140" max="16140" width="7.85546875" style="8" bestFit="1" customWidth="1"/>
    <col min="16141" max="16141" width="9.140625" style="8" customWidth="1"/>
    <col min="16142" max="16142" width="9.5703125" style="8" customWidth="1"/>
    <col min="16143" max="16384" width="8" style="8"/>
  </cols>
  <sheetData>
    <row r="1" spans="1:18" s="7" customFormat="1" ht="19.5" customHeight="1">
      <c r="A1" s="17" t="s">
        <v>78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18" s="7" customFormat="1" ht="19.5" customHeight="1">
      <c r="A2" s="17" t="s">
        <v>79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</row>
    <row r="3" spans="1:18" s="7" customFormat="1" ht="19.5" customHeight="1">
      <c r="A3" s="17" t="s">
        <v>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</row>
    <row r="4" spans="1:18" ht="32.25" customHeight="1">
      <c r="A4" s="3" t="s">
        <v>53</v>
      </c>
      <c r="B4" s="4" t="s">
        <v>9</v>
      </c>
      <c r="C4" s="4" t="s">
        <v>1</v>
      </c>
      <c r="D4" s="4" t="s">
        <v>10</v>
      </c>
      <c r="E4" s="1" t="s">
        <v>11</v>
      </c>
      <c r="F4" s="2" t="s">
        <v>12</v>
      </c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4" t="s">
        <v>13</v>
      </c>
      <c r="N4" s="3" t="s">
        <v>14</v>
      </c>
      <c r="O4" s="4" t="s">
        <v>0</v>
      </c>
    </row>
    <row r="5" spans="1:18" ht="19.5" customHeight="1">
      <c r="A5" s="2" t="s">
        <v>71</v>
      </c>
      <c r="B5" s="2" t="s">
        <v>72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8" ht="19.5" customHeight="1">
      <c r="A6" s="14" t="s">
        <v>28</v>
      </c>
      <c r="B6" s="20" t="s">
        <v>73</v>
      </c>
      <c r="C6" s="5" t="s">
        <v>55</v>
      </c>
      <c r="D6" s="9">
        <v>830</v>
      </c>
      <c r="E6" s="9">
        <v>188</v>
      </c>
      <c r="F6" s="9">
        <v>219</v>
      </c>
      <c r="G6" s="9">
        <v>548</v>
      </c>
      <c r="H6" s="9">
        <v>1141</v>
      </c>
      <c r="I6" s="9">
        <v>1528</v>
      </c>
      <c r="J6" s="9">
        <v>2021</v>
      </c>
      <c r="K6" s="9">
        <v>2254</v>
      </c>
      <c r="L6" s="9">
        <v>1091</v>
      </c>
      <c r="M6" s="9">
        <v>3047</v>
      </c>
      <c r="N6" s="9">
        <v>0</v>
      </c>
      <c r="O6" s="5">
        <f>SUM(D6:N6)</f>
        <v>12867</v>
      </c>
      <c r="R6" s="5"/>
    </row>
    <row r="7" spans="1:18" ht="19.5" customHeight="1">
      <c r="A7" s="15"/>
      <c r="B7" s="21"/>
      <c r="C7" s="5" t="s">
        <v>56</v>
      </c>
      <c r="D7" s="9">
        <v>610</v>
      </c>
      <c r="E7" s="9">
        <v>160</v>
      </c>
      <c r="F7" s="9">
        <v>337</v>
      </c>
      <c r="G7" s="9">
        <v>702</v>
      </c>
      <c r="H7" s="9">
        <v>615</v>
      </c>
      <c r="I7" s="9">
        <v>635</v>
      </c>
      <c r="J7" s="9">
        <v>927</v>
      </c>
      <c r="K7" s="9">
        <v>1237</v>
      </c>
      <c r="L7" s="9">
        <v>724</v>
      </c>
      <c r="M7" s="9">
        <v>2605</v>
      </c>
      <c r="N7" s="9">
        <v>0</v>
      </c>
      <c r="O7" s="5">
        <f t="shared" ref="O7:O63" si="0">SUM(D7:N7)</f>
        <v>8552</v>
      </c>
    </row>
    <row r="8" spans="1:18" ht="16.5" customHeight="1">
      <c r="A8" s="16"/>
      <c r="B8" s="22"/>
      <c r="C8" s="5" t="s">
        <v>70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3</v>
      </c>
      <c r="J8" s="9">
        <v>3</v>
      </c>
      <c r="K8" s="9">
        <v>0</v>
      </c>
      <c r="L8" s="9">
        <v>0</v>
      </c>
      <c r="M8" s="9">
        <v>0</v>
      </c>
      <c r="N8" s="9">
        <v>0</v>
      </c>
      <c r="O8" s="5">
        <f t="shared" si="0"/>
        <v>6</v>
      </c>
    </row>
    <row r="9" spans="1:18" s="7" customFormat="1" ht="19.5" customHeight="1">
      <c r="A9" s="14" t="s">
        <v>29</v>
      </c>
      <c r="B9" s="20" t="s">
        <v>30</v>
      </c>
      <c r="C9" s="5" t="s">
        <v>55</v>
      </c>
      <c r="D9" s="9">
        <v>7</v>
      </c>
      <c r="E9" s="9">
        <v>24</v>
      </c>
      <c r="F9" s="9">
        <v>91</v>
      </c>
      <c r="G9" s="9">
        <v>164</v>
      </c>
      <c r="H9" s="9">
        <v>206</v>
      </c>
      <c r="I9" s="9">
        <v>406</v>
      </c>
      <c r="J9" s="9">
        <v>732</v>
      </c>
      <c r="K9" s="9">
        <v>998</v>
      </c>
      <c r="L9" s="9">
        <v>575</v>
      </c>
      <c r="M9" s="9">
        <v>1078</v>
      </c>
      <c r="N9" s="9">
        <v>0</v>
      </c>
      <c r="O9" s="5">
        <f t="shared" si="0"/>
        <v>4281</v>
      </c>
      <c r="P9" s="8"/>
    </row>
    <row r="10" spans="1:18" s="7" customFormat="1" ht="19.5" customHeight="1">
      <c r="A10" s="15"/>
      <c r="B10" s="21"/>
      <c r="C10" s="5" t="s">
        <v>56</v>
      </c>
      <c r="D10" s="9">
        <v>9</v>
      </c>
      <c r="E10" s="9">
        <v>28</v>
      </c>
      <c r="F10" s="9">
        <v>53</v>
      </c>
      <c r="G10" s="9">
        <v>73</v>
      </c>
      <c r="H10" s="9">
        <v>173</v>
      </c>
      <c r="I10" s="9">
        <v>332</v>
      </c>
      <c r="J10" s="9">
        <v>645</v>
      </c>
      <c r="K10" s="9">
        <v>763</v>
      </c>
      <c r="L10" s="9">
        <v>332</v>
      </c>
      <c r="M10" s="9">
        <v>691</v>
      </c>
      <c r="N10" s="9">
        <v>0</v>
      </c>
      <c r="O10" s="5">
        <f t="shared" si="0"/>
        <v>3099</v>
      </c>
      <c r="P10" s="8"/>
    </row>
    <row r="11" spans="1:18" ht="18" customHeight="1">
      <c r="A11" s="16"/>
      <c r="B11" s="22"/>
      <c r="C11" s="5" t="s">
        <v>70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5">
        <f t="shared" si="0"/>
        <v>1</v>
      </c>
    </row>
    <row r="12" spans="1:18" ht="24.75" customHeight="1">
      <c r="A12" s="14" t="s">
        <v>31</v>
      </c>
      <c r="B12" s="20" t="s">
        <v>57</v>
      </c>
      <c r="C12" s="5" t="s">
        <v>55</v>
      </c>
      <c r="D12" s="9">
        <v>24</v>
      </c>
      <c r="E12" s="9">
        <v>16</v>
      </c>
      <c r="F12" s="9">
        <v>36</v>
      </c>
      <c r="G12" s="9">
        <v>48</v>
      </c>
      <c r="H12" s="9">
        <v>60</v>
      </c>
      <c r="I12" s="9">
        <v>91</v>
      </c>
      <c r="J12" s="9">
        <v>117</v>
      </c>
      <c r="K12" s="9">
        <v>181</v>
      </c>
      <c r="L12" s="9">
        <v>95</v>
      </c>
      <c r="M12" s="9">
        <v>235</v>
      </c>
      <c r="N12" s="9">
        <v>0</v>
      </c>
      <c r="O12" s="5">
        <f t="shared" si="0"/>
        <v>903</v>
      </c>
    </row>
    <row r="13" spans="1:18" ht="26.25" customHeight="1">
      <c r="A13" s="15"/>
      <c r="B13" s="21"/>
      <c r="C13" s="5" t="s">
        <v>56</v>
      </c>
      <c r="D13" s="9">
        <v>15</v>
      </c>
      <c r="E13" s="9">
        <v>12</v>
      </c>
      <c r="F13" s="9">
        <v>37</v>
      </c>
      <c r="G13" s="9">
        <v>50</v>
      </c>
      <c r="H13" s="9">
        <v>57</v>
      </c>
      <c r="I13" s="9">
        <v>49</v>
      </c>
      <c r="J13" s="9">
        <v>75</v>
      </c>
      <c r="K13" s="9">
        <v>101</v>
      </c>
      <c r="L13" s="9">
        <v>59</v>
      </c>
      <c r="M13" s="9">
        <v>282</v>
      </c>
      <c r="N13" s="9">
        <v>0</v>
      </c>
      <c r="O13" s="5">
        <f t="shared" si="0"/>
        <v>737</v>
      </c>
    </row>
    <row r="14" spans="1:18" ht="26.25" customHeight="1">
      <c r="A14" s="16"/>
      <c r="B14" s="22"/>
      <c r="C14" s="5" t="s">
        <v>70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5">
        <f t="shared" si="0"/>
        <v>0</v>
      </c>
    </row>
    <row r="15" spans="1:18" s="10" customFormat="1" ht="19.5" customHeight="1">
      <c r="A15" s="14" t="s">
        <v>32</v>
      </c>
      <c r="B15" s="20" t="s">
        <v>74</v>
      </c>
      <c r="C15" s="5" t="s">
        <v>55</v>
      </c>
      <c r="D15" s="9">
        <v>9</v>
      </c>
      <c r="E15" s="9">
        <v>5</v>
      </c>
      <c r="F15" s="9">
        <v>10</v>
      </c>
      <c r="G15" s="9">
        <v>29</v>
      </c>
      <c r="H15" s="9">
        <v>55</v>
      </c>
      <c r="I15" s="9">
        <v>150</v>
      </c>
      <c r="J15" s="9">
        <v>304</v>
      </c>
      <c r="K15" s="9">
        <v>424</v>
      </c>
      <c r="L15" s="9">
        <v>206</v>
      </c>
      <c r="M15" s="9">
        <v>519</v>
      </c>
      <c r="N15" s="9">
        <v>0</v>
      </c>
      <c r="O15" s="5">
        <f t="shared" si="0"/>
        <v>1711</v>
      </c>
      <c r="P15" s="8"/>
    </row>
    <row r="16" spans="1:18" s="10" customFormat="1" ht="19.5" customHeight="1">
      <c r="A16" s="15"/>
      <c r="B16" s="21"/>
      <c r="C16" s="5" t="s">
        <v>56</v>
      </c>
      <c r="D16" s="9">
        <v>10</v>
      </c>
      <c r="E16" s="9">
        <v>9</v>
      </c>
      <c r="F16" s="9">
        <v>12</v>
      </c>
      <c r="G16" s="9">
        <v>31</v>
      </c>
      <c r="H16" s="9">
        <v>37</v>
      </c>
      <c r="I16" s="9">
        <v>86</v>
      </c>
      <c r="J16" s="9">
        <v>251</v>
      </c>
      <c r="K16" s="9">
        <v>367</v>
      </c>
      <c r="L16" s="9">
        <v>195</v>
      </c>
      <c r="M16" s="9">
        <v>557</v>
      </c>
      <c r="N16" s="9">
        <v>0</v>
      </c>
      <c r="O16" s="5">
        <f t="shared" si="0"/>
        <v>1555</v>
      </c>
      <c r="P16" s="8"/>
    </row>
    <row r="17" spans="1:16" s="10" customFormat="1" ht="19.5" customHeight="1">
      <c r="A17" s="16"/>
      <c r="B17" s="22"/>
      <c r="C17" s="5" t="s">
        <v>70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5">
        <f t="shared" si="0"/>
        <v>0</v>
      </c>
      <c r="P17" s="8"/>
    </row>
    <row r="18" spans="1:16" s="11" customFormat="1" ht="19.5" customHeight="1">
      <c r="A18" s="14" t="s">
        <v>33</v>
      </c>
      <c r="B18" s="20" t="s">
        <v>58</v>
      </c>
      <c r="C18" s="5" t="s">
        <v>55</v>
      </c>
      <c r="D18" s="9">
        <v>2</v>
      </c>
      <c r="E18" s="9">
        <v>5</v>
      </c>
      <c r="F18" s="9">
        <v>3</v>
      </c>
      <c r="G18" s="9">
        <v>5</v>
      </c>
      <c r="H18" s="9">
        <v>14</v>
      </c>
      <c r="I18" s="9">
        <v>18</v>
      </c>
      <c r="J18" s="9">
        <v>14</v>
      </c>
      <c r="K18" s="9">
        <v>10</v>
      </c>
      <c r="L18" s="9">
        <v>4</v>
      </c>
      <c r="M18" s="9">
        <v>14</v>
      </c>
      <c r="N18" s="9">
        <v>0</v>
      </c>
      <c r="O18" s="5">
        <f t="shared" si="0"/>
        <v>89</v>
      </c>
      <c r="P18" s="8"/>
    </row>
    <row r="19" spans="1:16" s="11" customFormat="1" ht="19.5" customHeight="1">
      <c r="A19" s="15"/>
      <c r="B19" s="21"/>
      <c r="C19" s="5" t="s">
        <v>56</v>
      </c>
      <c r="D19" s="9">
        <v>2</v>
      </c>
      <c r="E19" s="9">
        <v>2</v>
      </c>
      <c r="F19" s="9">
        <v>0</v>
      </c>
      <c r="G19" s="9">
        <v>3</v>
      </c>
      <c r="H19" s="9">
        <v>7</v>
      </c>
      <c r="I19" s="9">
        <v>6</v>
      </c>
      <c r="J19" s="9">
        <v>4</v>
      </c>
      <c r="K19" s="9">
        <v>5</v>
      </c>
      <c r="L19" s="9">
        <v>6</v>
      </c>
      <c r="M19" s="9">
        <v>13</v>
      </c>
      <c r="N19" s="9">
        <v>0</v>
      </c>
      <c r="O19" s="5">
        <f t="shared" si="0"/>
        <v>48</v>
      </c>
      <c r="P19" s="8"/>
    </row>
    <row r="20" spans="1:16" s="11" customFormat="1" ht="19.5" customHeight="1">
      <c r="A20" s="16"/>
      <c r="B20" s="22"/>
      <c r="C20" s="5" t="s">
        <v>70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5">
        <f t="shared" si="0"/>
        <v>0</v>
      </c>
      <c r="P20" s="8"/>
    </row>
    <row r="21" spans="1:16" ht="19.5" customHeight="1">
      <c r="A21" s="14" t="s">
        <v>34</v>
      </c>
      <c r="B21" s="20" t="s">
        <v>59</v>
      </c>
      <c r="C21" s="5" t="s">
        <v>55</v>
      </c>
      <c r="D21" s="9">
        <v>114</v>
      </c>
      <c r="E21" s="9">
        <v>73</v>
      </c>
      <c r="F21" s="9">
        <v>55</v>
      </c>
      <c r="G21" s="9">
        <v>89</v>
      </c>
      <c r="H21" s="9">
        <v>103</v>
      </c>
      <c r="I21" s="9">
        <v>132</v>
      </c>
      <c r="J21" s="9">
        <v>172</v>
      </c>
      <c r="K21" s="9">
        <v>177</v>
      </c>
      <c r="L21" s="9">
        <v>79</v>
      </c>
      <c r="M21" s="9">
        <v>247</v>
      </c>
      <c r="N21" s="9">
        <v>0</v>
      </c>
      <c r="O21" s="5">
        <f t="shared" si="0"/>
        <v>1241</v>
      </c>
    </row>
    <row r="22" spans="1:16" ht="19.5" customHeight="1">
      <c r="A22" s="15"/>
      <c r="B22" s="21"/>
      <c r="C22" s="5" t="s">
        <v>56</v>
      </c>
      <c r="D22" s="9">
        <v>85</v>
      </c>
      <c r="E22" s="9">
        <v>32</v>
      </c>
      <c r="F22" s="9">
        <v>49</v>
      </c>
      <c r="G22" s="9">
        <v>58</v>
      </c>
      <c r="H22" s="9">
        <v>54</v>
      </c>
      <c r="I22" s="9">
        <v>54</v>
      </c>
      <c r="J22" s="9">
        <v>92</v>
      </c>
      <c r="K22" s="9">
        <v>78</v>
      </c>
      <c r="L22" s="9">
        <v>62</v>
      </c>
      <c r="M22" s="9">
        <v>210</v>
      </c>
      <c r="N22" s="9">
        <v>0</v>
      </c>
      <c r="O22" s="5">
        <f t="shared" si="0"/>
        <v>774</v>
      </c>
    </row>
    <row r="23" spans="1:16" ht="19.5" customHeight="1">
      <c r="A23" s="16"/>
      <c r="B23" s="22"/>
      <c r="C23" s="5" t="s">
        <v>70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5">
        <f t="shared" si="0"/>
        <v>0</v>
      </c>
    </row>
    <row r="24" spans="1:16" s="11" customFormat="1" ht="19.5" customHeight="1">
      <c r="A24" s="14" t="s">
        <v>35</v>
      </c>
      <c r="B24" s="20" t="s">
        <v>60</v>
      </c>
      <c r="C24" s="5" t="s">
        <v>55</v>
      </c>
      <c r="D24" s="9">
        <v>0</v>
      </c>
      <c r="E24" s="9">
        <v>1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1</v>
      </c>
      <c r="L24" s="9">
        <v>0</v>
      </c>
      <c r="M24" s="9">
        <v>1</v>
      </c>
      <c r="N24" s="9">
        <v>0</v>
      </c>
      <c r="O24" s="5">
        <f t="shared" si="0"/>
        <v>5</v>
      </c>
      <c r="P24" s="8"/>
    </row>
    <row r="25" spans="1:16" s="11" customFormat="1" ht="19.5" customHeight="1">
      <c r="A25" s="15"/>
      <c r="B25" s="21"/>
      <c r="C25" s="5" t="s">
        <v>56</v>
      </c>
      <c r="D25" s="9">
        <v>0</v>
      </c>
      <c r="E25" s="9">
        <v>0</v>
      </c>
      <c r="F25" s="9">
        <v>1</v>
      </c>
      <c r="G25" s="9">
        <v>0</v>
      </c>
      <c r="H25" s="9">
        <v>0</v>
      </c>
      <c r="I25" s="9">
        <v>0</v>
      </c>
      <c r="J25" s="9">
        <v>0</v>
      </c>
      <c r="K25" s="9">
        <v>1</v>
      </c>
      <c r="L25" s="9">
        <v>0</v>
      </c>
      <c r="M25" s="9">
        <v>1</v>
      </c>
      <c r="N25" s="9">
        <v>0</v>
      </c>
      <c r="O25" s="5">
        <f t="shared" si="0"/>
        <v>3</v>
      </c>
      <c r="P25" s="8"/>
    </row>
    <row r="26" spans="1:16" s="11" customFormat="1" ht="19.5" customHeight="1">
      <c r="A26" s="16"/>
      <c r="B26" s="22"/>
      <c r="C26" s="5" t="s">
        <v>70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5">
        <f t="shared" si="0"/>
        <v>0</v>
      </c>
      <c r="P26" s="8"/>
    </row>
    <row r="27" spans="1:16" s="11" customFormat="1" ht="19.5" customHeight="1">
      <c r="A27" s="14" t="s">
        <v>36</v>
      </c>
      <c r="B27" s="20" t="s">
        <v>61</v>
      </c>
      <c r="C27" s="5" t="s">
        <v>55</v>
      </c>
      <c r="D27" s="9">
        <v>0</v>
      </c>
      <c r="E27" s="9">
        <v>0</v>
      </c>
      <c r="F27" s="9">
        <v>0</v>
      </c>
      <c r="G27" s="9">
        <v>1</v>
      </c>
      <c r="H27" s="9">
        <v>0</v>
      </c>
      <c r="I27" s="9">
        <v>0</v>
      </c>
      <c r="J27" s="9">
        <v>1</v>
      </c>
      <c r="K27" s="9">
        <v>1</v>
      </c>
      <c r="L27" s="9">
        <v>1</v>
      </c>
      <c r="M27" s="9">
        <v>1</v>
      </c>
      <c r="N27" s="9">
        <v>0</v>
      </c>
      <c r="O27" s="5">
        <f t="shared" si="0"/>
        <v>5</v>
      </c>
      <c r="P27" s="8"/>
    </row>
    <row r="28" spans="1:16" s="11" customFormat="1" ht="19.5" customHeight="1">
      <c r="A28" s="15"/>
      <c r="B28" s="21"/>
      <c r="C28" s="5" t="s">
        <v>56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5</v>
      </c>
      <c r="N28" s="9">
        <v>0</v>
      </c>
      <c r="O28" s="5">
        <f t="shared" si="0"/>
        <v>6</v>
      </c>
      <c r="P28" s="8"/>
    </row>
    <row r="29" spans="1:16" s="11" customFormat="1" ht="19.5" customHeight="1">
      <c r="A29" s="16"/>
      <c r="B29" s="22"/>
      <c r="C29" s="5" t="s">
        <v>70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5">
        <f t="shared" si="0"/>
        <v>0</v>
      </c>
      <c r="P29" s="8"/>
    </row>
    <row r="30" spans="1:16" s="11" customFormat="1" ht="19.5" customHeight="1">
      <c r="A30" s="14" t="s">
        <v>37</v>
      </c>
      <c r="B30" s="20" t="s">
        <v>62</v>
      </c>
      <c r="C30" s="5" t="s">
        <v>55</v>
      </c>
      <c r="D30" s="9">
        <v>433</v>
      </c>
      <c r="E30" s="9">
        <v>108</v>
      </c>
      <c r="F30" s="9">
        <v>169</v>
      </c>
      <c r="G30" s="9">
        <v>489</v>
      </c>
      <c r="H30" s="9">
        <v>1146</v>
      </c>
      <c r="I30" s="9">
        <v>2297</v>
      </c>
      <c r="J30" s="9">
        <v>3886</v>
      </c>
      <c r="K30" s="9">
        <v>4189</v>
      </c>
      <c r="L30" s="9">
        <v>2129</v>
      </c>
      <c r="M30" s="9">
        <v>6336</v>
      </c>
      <c r="N30" s="9">
        <v>0</v>
      </c>
      <c r="O30" s="5">
        <f t="shared" si="0"/>
        <v>21182</v>
      </c>
      <c r="P30" s="8"/>
    </row>
    <row r="31" spans="1:16" s="11" customFormat="1" ht="19.5" customHeight="1">
      <c r="A31" s="15"/>
      <c r="B31" s="21"/>
      <c r="C31" s="5" t="s">
        <v>56</v>
      </c>
      <c r="D31" s="9">
        <v>289</v>
      </c>
      <c r="E31" s="9">
        <v>123</v>
      </c>
      <c r="F31" s="9">
        <v>139</v>
      </c>
      <c r="G31" s="9">
        <v>313</v>
      </c>
      <c r="H31" s="9">
        <v>478</v>
      </c>
      <c r="I31" s="9">
        <v>807</v>
      </c>
      <c r="J31" s="9">
        <v>1713</v>
      </c>
      <c r="K31" s="9">
        <v>2412</v>
      </c>
      <c r="L31" s="9">
        <v>1410</v>
      </c>
      <c r="M31" s="9">
        <v>5664</v>
      </c>
      <c r="N31" s="9">
        <v>0</v>
      </c>
      <c r="O31" s="5">
        <f t="shared" si="0"/>
        <v>13348</v>
      </c>
      <c r="P31" s="8"/>
    </row>
    <row r="32" spans="1:16" s="11" customFormat="1" ht="19.5" customHeight="1">
      <c r="A32" s="16"/>
      <c r="B32" s="22"/>
      <c r="C32" s="5" t="s">
        <v>70</v>
      </c>
      <c r="D32" s="9">
        <v>2</v>
      </c>
      <c r="E32" s="9">
        <v>0</v>
      </c>
      <c r="F32" s="9">
        <v>0</v>
      </c>
      <c r="G32" s="9">
        <v>0</v>
      </c>
      <c r="H32" s="9">
        <v>0</v>
      </c>
      <c r="I32" s="9">
        <v>1</v>
      </c>
      <c r="J32" s="9">
        <v>2</v>
      </c>
      <c r="K32" s="9">
        <v>2</v>
      </c>
      <c r="L32" s="9">
        <v>0</v>
      </c>
      <c r="M32" s="9">
        <v>2</v>
      </c>
      <c r="N32" s="9">
        <v>0</v>
      </c>
      <c r="O32" s="5">
        <f t="shared" si="0"/>
        <v>9</v>
      </c>
      <c r="P32" s="8"/>
    </row>
    <row r="33" spans="1:16" s="12" customFormat="1" ht="19.5" customHeight="1">
      <c r="A33" s="26" t="s">
        <v>38</v>
      </c>
      <c r="B33" s="23" t="s">
        <v>63</v>
      </c>
      <c r="C33" s="5" t="s">
        <v>55</v>
      </c>
      <c r="D33" s="9">
        <v>547</v>
      </c>
      <c r="E33" s="9">
        <v>141</v>
      </c>
      <c r="F33" s="9">
        <v>186</v>
      </c>
      <c r="G33" s="9">
        <v>240</v>
      </c>
      <c r="H33" s="9">
        <v>427</v>
      </c>
      <c r="I33" s="9">
        <v>700</v>
      </c>
      <c r="J33" s="9">
        <v>1392</v>
      </c>
      <c r="K33" s="9">
        <v>1447</v>
      </c>
      <c r="L33" s="9">
        <v>773</v>
      </c>
      <c r="M33" s="9">
        <v>2796</v>
      </c>
      <c r="N33" s="9">
        <v>0</v>
      </c>
      <c r="O33" s="5">
        <f t="shared" si="0"/>
        <v>8649</v>
      </c>
      <c r="P33" s="8"/>
    </row>
    <row r="34" spans="1:16" s="12" customFormat="1" ht="19.5" customHeight="1">
      <c r="A34" s="27"/>
      <c r="B34" s="24"/>
      <c r="C34" s="5" t="s">
        <v>56</v>
      </c>
      <c r="D34" s="9">
        <v>360</v>
      </c>
      <c r="E34" s="9">
        <v>145</v>
      </c>
      <c r="F34" s="9">
        <v>158</v>
      </c>
      <c r="G34" s="9">
        <v>200</v>
      </c>
      <c r="H34" s="9">
        <v>234</v>
      </c>
      <c r="I34" s="9">
        <v>328</v>
      </c>
      <c r="J34" s="9">
        <v>622</v>
      </c>
      <c r="K34" s="9">
        <v>796</v>
      </c>
      <c r="L34" s="9">
        <v>470</v>
      </c>
      <c r="M34" s="9">
        <v>2375</v>
      </c>
      <c r="N34" s="9">
        <v>0</v>
      </c>
      <c r="O34" s="5">
        <f t="shared" si="0"/>
        <v>5688</v>
      </c>
      <c r="P34" s="8"/>
    </row>
    <row r="35" spans="1:16" ht="19.5" customHeight="1">
      <c r="A35" s="28"/>
      <c r="B35" s="25"/>
      <c r="C35" s="5" t="s">
        <v>70</v>
      </c>
      <c r="D35" s="9">
        <v>0</v>
      </c>
      <c r="E35" s="9">
        <v>0</v>
      </c>
      <c r="F35" s="9">
        <v>1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1</v>
      </c>
      <c r="N35" s="9">
        <v>0</v>
      </c>
      <c r="O35" s="5">
        <f t="shared" si="0"/>
        <v>2</v>
      </c>
    </row>
    <row r="36" spans="1:16" ht="19.5" customHeight="1">
      <c r="A36" s="14" t="s">
        <v>39</v>
      </c>
      <c r="B36" s="20" t="s">
        <v>40</v>
      </c>
      <c r="C36" s="5" t="s">
        <v>55</v>
      </c>
      <c r="D36" s="9">
        <v>45</v>
      </c>
      <c r="E36" s="9">
        <v>24</v>
      </c>
      <c r="F36" s="9">
        <v>43</v>
      </c>
      <c r="G36" s="9">
        <v>178</v>
      </c>
      <c r="H36" s="9">
        <v>544</v>
      </c>
      <c r="I36" s="9">
        <v>1322</v>
      </c>
      <c r="J36" s="9">
        <v>1323</v>
      </c>
      <c r="K36" s="9">
        <v>1065</v>
      </c>
      <c r="L36" s="9">
        <v>378</v>
      </c>
      <c r="M36" s="9">
        <v>777</v>
      </c>
      <c r="N36" s="9">
        <v>0</v>
      </c>
      <c r="O36" s="5">
        <f t="shared" si="0"/>
        <v>5699</v>
      </c>
    </row>
    <row r="37" spans="1:16" ht="19.5" customHeight="1">
      <c r="A37" s="15"/>
      <c r="B37" s="21"/>
      <c r="C37" s="5" t="s">
        <v>56</v>
      </c>
      <c r="D37" s="9">
        <v>26</v>
      </c>
      <c r="E37" s="9">
        <v>21</v>
      </c>
      <c r="F37" s="9">
        <v>57</v>
      </c>
      <c r="G37" s="9">
        <v>121</v>
      </c>
      <c r="H37" s="9">
        <v>135</v>
      </c>
      <c r="I37" s="9">
        <v>187</v>
      </c>
      <c r="J37" s="9">
        <v>330</v>
      </c>
      <c r="K37" s="9">
        <v>431</v>
      </c>
      <c r="L37" s="9">
        <v>235</v>
      </c>
      <c r="M37" s="9">
        <v>652</v>
      </c>
      <c r="N37" s="9">
        <v>0</v>
      </c>
      <c r="O37" s="5">
        <f t="shared" si="0"/>
        <v>2195</v>
      </c>
    </row>
    <row r="38" spans="1:16" ht="19.5" customHeight="1">
      <c r="A38" s="16"/>
      <c r="B38" s="22"/>
      <c r="C38" s="5" t="s">
        <v>70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5">
        <f t="shared" si="0"/>
        <v>0</v>
      </c>
    </row>
    <row r="39" spans="1:16" ht="19.5" customHeight="1">
      <c r="A39" s="14" t="s">
        <v>41</v>
      </c>
      <c r="B39" s="20" t="s">
        <v>64</v>
      </c>
      <c r="C39" s="5" t="s">
        <v>55</v>
      </c>
      <c r="D39" s="9">
        <v>1</v>
      </c>
      <c r="E39" s="9">
        <v>2</v>
      </c>
      <c r="F39" s="9">
        <v>1</v>
      </c>
      <c r="G39" s="9">
        <v>2</v>
      </c>
      <c r="H39" s="9">
        <v>7</v>
      </c>
      <c r="I39" s="9">
        <v>4</v>
      </c>
      <c r="J39" s="9">
        <v>8</v>
      </c>
      <c r="K39" s="9">
        <v>5</v>
      </c>
      <c r="L39" s="9">
        <v>9</v>
      </c>
      <c r="M39" s="9">
        <v>8</v>
      </c>
      <c r="N39" s="9">
        <v>0</v>
      </c>
      <c r="O39" s="5">
        <f t="shared" si="0"/>
        <v>47</v>
      </c>
    </row>
    <row r="40" spans="1:16" ht="19.5" customHeight="1">
      <c r="A40" s="15"/>
      <c r="B40" s="21"/>
      <c r="C40" s="5" t="s">
        <v>56</v>
      </c>
      <c r="D40" s="9">
        <v>1</v>
      </c>
      <c r="E40" s="9">
        <v>0</v>
      </c>
      <c r="F40" s="9">
        <v>1</v>
      </c>
      <c r="G40" s="9">
        <v>2</v>
      </c>
      <c r="H40" s="9">
        <v>1</v>
      </c>
      <c r="I40" s="9">
        <v>3</v>
      </c>
      <c r="J40" s="9">
        <v>6</v>
      </c>
      <c r="K40" s="9">
        <v>2</v>
      </c>
      <c r="L40" s="9">
        <v>1</v>
      </c>
      <c r="M40" s="9">
        <v>5</v>
      </c>
      <c r="N40" s="9">
        <v>0</v>
      </c>
      <c r="O40" s="5">
        <f t="shared" si="0"/>
        <v>22</v>
      </c>
    </row>
    <row r="41" spans="1:16" ht="19.5" customHeight="1">
      <c r="A41" s="16"/>
      <c r="B41" s="22"/>
      <c r="C41" s="5" t="s">
        <v>70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5">
        <f t="shared" si="0"/>
        <v>0</v>
      </c>
    </row>
    <row r="42" spans="1:16" ht="19.5" customHeight="1">
      <c r="A42" s="14" t="s">
        <v>42</v>
      </c>
      <c r="B42" s="20" t="s">
        <v>65</v>
      </c>
      <c r="C42" s="5" t="s">
        <v>55</v>
      </c>
      <c r="D42" s="9">
        <v>2</v>
      </c>
      <c r="E42" s="9">
        <v>3</v>
      </c>
      <c r="F42" s="9">
        <v>5</v>
      </c>
      <c r="G42" s="9">
        <v>6</v>
      </c>
      <c r="H42" s="9">
        <v>8</v>
      </c>
      <c r="I42" s="9">
        <v>7</v>
      </c>
      <c r="J42" s="9">
        <v>12</v>
      </c>
      <c r="K42" s="9">
        <v>22</v>
      </c>
      <c r="L42" s="9">
        <v>11</v>
      </c>
      <c r="M42" s="9">
        <v>14</v>
      </c>
      <c r="N42" s="9">
        <v>0</v>
      </c>
      <c r="O42" s="5">
        <f t="shared" si="0"/>
        <v>90</v>
      </c>
    </row>
    <row r="43" spans="1:16" ht="19.5" customHeight="1">
      <c r="A43" s="15"/>
      <c r="B43" s="21"/>
      <c r="C43" s="5" t="s">
        <v>56</v>
      </c>
      <c r="D43" s="9">
        <v>4</v>
      </c>
      <c r="E43" s="9">
        <v>5</v>
      </c>
      <c r="F43" s="9">
        <v>6</v>
      </c>
      <c r="G43" s="9">
        <v>14</v>
      </c>
      <c r="H43" s="9">
        <v>6</v>
      </c>
      <c r="I43" s="9">
        <v>10</v>
      </c>
      <c r="J43" s="9">
        <v>13</v>
      </c>
      <c r="K43" s="9">
        <v>20</v>
      </c>
      <c r="L43" s="9">
        <v>3</v>
      </c>
      <c r="M43" s="9">
        <v>16</v>
      </c>
      <c r="N43" s="9">
        <v>0</v>
      </c>
      <c r="O43" s="5">
        <f t="shared" si="0"/>
        <v>97</v>
      </c>
    </row>
    <row r="44" spans="1:16" ht="19.5" customHeight="1">
      <c r="A44" s="16"/>
      <c r="B44" s="22"/>
      <c r="C44" s="5" t="s">
        <v>70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5">
        <f t="shared" si="0"/>
        <v>0</v>
      </c>
    </row>
    <row r="45" spans="1:16" ht="19.5" customHeight="1">
      <c r="A45" s="14" t="s">
        <v>43</v>
      </c>
      <c r="B45" s="20" t="s">
        <v>54</v>
      </c>
      <c r="C45" s="5" t="s">
        <v>55</v>
      </c>
      <c r="D45" s="9">
        <v>63</v>
      </c>
      <c r="E45" s="9">
        <v>19</v>
      </c>
      <c r="F45" s="9">
        <v>30</v>
      </c>
      <c r="G45" s="9">
        <v>151</v>
      </c>
      <c r="H45" s="9">
        <v>223</v>
      </c>
      <c r="I45" s="9">
        <v>462</v>
      </c>
      <c r="J45" s="9">
        <v>753</v>
      </c>
      <c r="K45" s="9">
        <v>1111</v>
      </c>
      <c r="L45" s="9">
        <v>615</v>
      </c>
      <c r="M45" s="9">
        <v>2100</v>
      </c>
      <c r="N45" s="9">
        <v>0</v>
      </c>
      <c r="O45" s="5">
        <f t="shared" si="0"/>
        <v>5527</v>
      </c>
    </row>
    <row r="46" spans="1:16" ht="19.5" customHeight="1">
      <c r="A46" s="15"/>
      <c r="B46" s="21"/>
      <c r="C46" s="5" t="s">
        <v>56</v>
      </c>
      <c r="D46" s="9">
        <v>40</v>
      </c>
      <c r="E46" s="9">
        <v>10</v>
      </c>
      <c r="F46" s="9">
        <v>9</v>
      </c>
      <c r="G46" s="9">
        <v>90</v>
      </c>
      <c r="H46" s="9">
        <v>93</v>
      </c>
      <c r="I46" s="9">
        <v>202</v>
      </c>
      <c r="J46" s="9">
        <v>371</v>
      </c>
      <c r="K46" s="9">
        <v>630</v>
      </c>
      <c r="L46" s="9">
        <v>409</v>
      </c>
      <c r="M46" s="9">
        <v>2014</v>
      </c>
      <c r="N46" s="9">
        <v>0</v>
      </c>
      <c r="O46" s="5">
        <f t="shared" si="0"/>
        <v>3868</v>
      </c>
    </row>
    <row r="47" spans="1:16" ht="19.5" customHeight="1">
      <c r="A47" s="16"/>
      <c r="B47" s="22"/>
      <c r="C47" s="5" t="s">
        <v>70</v>
      </c>
      <c r="D47" s="9">
        <v>1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1</v>
      </c>
      <c r="N47" s="9">
        <v>0</v>
      </c>
      <c r="O47" s="5">
        <f t="shared" si="0"/>
        <v>2</v>
      </c>
    </row>
    <row r="48" spans="1:16" ht="19.5" customHeight="1">
      <c r="A48" s="14" t="s">
        <v>44</v>
      </c>
      <c r="B48" s="20" t="s">
        <v>45</v>
      </c>
      <c r="C48" s="5" t="s">
        <v>55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5">
        <f t="shared" si="0"/>
        <v>0</v>
      </c>
    </row>
    <row r="49" spans="1:16" ht="19.5" customHeight="1">
      <c r="A49" s="15"/>
      <c r="B49" s="21"/>
      <c r="C49" s="5" t="s">
        <v>56</v>
      </c>
      <c r="D49" s="9">
        <v>0</v>
      </c>
      <c r="E49" s="9">
        <v>0</v>
      </c>
      <c r="F49" s="9">
        <v>0</v>
      </c>
      <c r="G49" s="9">
        <v>26</v>
      </c>
      <c r="H49" s="9">
        <v>78</v>
      </c>
      <c r="I49" s="9">
        <v>18</v>
      </c>
      <c r="J49" s="9">
        <v>14</v>
      </c>
      <c r="K49" s="9">
        <v>0</v>
      </c>
      <c r="L49" s="9">
        <v>0</v>
      </c>
      <c r="M49" s="9">
        <v>0</v>
      </c>
      <c r="N49" s="9">
        <v>0</v>
      </c>
      <c r="O49" s="5">
        <f t="shared" si="0"/>
        <v>136</v>
      </c>
    </row>
    <row r="50" spans="1:16" ht="19.5" customHeight="1">
      <c r="A50" s="16"/>
      <c r="B50" s="22"/>
      <c r="C50" s="5" t="s">
        <v>70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5">
        <f t="shared" si="0"/>
        <v>0</v>
      </c>
    </row>
    <row r="51" spans="1:16" ht="19.5" customHeight="1">
      <c r="A51" s="14" t="s">
        <v>46</v>
      </c>
      <c r="B51" s="20" t="s">
        <v>66</v>
      </c>
      <c r="C51" s="5" t="s">
        <v>55</v>
      </c>
      <c r="D51" s="9">
        <v>980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5">
        <f t="shared" si="0"/>
        <v>980</v>
      </c>
    </row>
    <row r="52" spans="1:16" ht="19.5" customHeight="1">
      <c r="A52" s="15"/>
      <c r="B52" s="21"/>
      <c r="C52" s="5" t="s">
        <v>56</v>
      </c>
      <c r="D52" s="9">
        <v>740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5">
        <f t="shared" si="0"/>
        <v>740</v>
      </c>
    </row>
    <row r="53" spans="1:16" ht="19.5" customHeight="1">
      <c r="A53" s="16"/>
      <c r="B53" s="22"/>
      <c r="C53" s="5" t="s">
        <v>70</v>
      </c>
      <c r="D53" s="9">
        <v>5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5">
        <f t="shared" si="0"/>
        <v>5</v>
      </c>
    </row>
    <row r="54" spans="1:16" ht="19.5" customHeight="1">
      <c r="A54" s="14" t="s">
        <v>47</v>
      </c>
      <c r="B54" s="20" t="s">
        <v>67</v>
      </c>
      <c r="C54" s="5" t="s">
        <v>55</v>
      </c>
      <c r="D54" s="9">
        <v>215</v>
      </c>
      <c r="E54" s="9">
        <v>43</v>
      </c>
      <c r="F54" s="9">
        <v>20</v>
      </c>
      <c r="G54" s="9">
        <v>8</v>
      </c>
      <c r="H54" s="9">
        <v>5</v>
      </c>
      <c r="I54" s="9">
        <v>1</v>
      </c>
      <c r="J54" s="9">
        <v>4</v>
      </c>
      <c r="K54" s="9">
        <v>5</v>
      </c>
      <c r="L54" s="9">
        <v>0</v>
      </c>
      <c r="M54" s="9">
        <v>1</v>
      </c>
      <c r="N54" s="9">
        <v>0</v>
      </c>
      <c r="O54" s="5">
        <f t="shared" si="0"/>
        <v>302</v>
      </c>
    </row>
    <row r="55" spans="1:16" ht="19.5" customHeight="1">
      <c r="A55" s="15"/>
      <c r="B55" s="21"/>
      <c r="C55" s="5" t="s">
        <v>56</v>
      </c>
      <c r="D55" s="9">
        <v>97</v>
      </c>
      <c r="E55" s="9">
        <v>24</v>
      </c>
      <c r="F55" s="9">
        <v>15</v>
      </c>
      <c r="G55" s="9">
        <v>11</v>
      </c>
      <c r="H55" s="9">
        <v>7</v>
      </c>
      <c r="I55" s="9">
        <v>5</v>
      </c>
      <c r="J55" s="9">
        <v>1</v>
      </c>
      <c r="K55" s="9">
        <v>2</v>
      </c>
      <c r="L55" s="9">
        <v>0</v>
      </c>
      <c r="M55" s="9">
        <v>0</v>
      </c>
      <c r="N55" s="9">
        <v>0</v>
      </c>
      <c r="O55" s="5">
        <f t="shared" si="0"/>
        <v>162</v>
      </c>
    </row>
    <row r="56" spans="1:16" ht="19.5" customHeight="1">
      <c r="A56" s="16"/>
      <c r="B56" s="22"/>
      <c r="C56" s="5" t="s">
        <v>70</v>
      </c>
      <c r="D56" s="9">
        <v>1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5">
        <f t="shared" si="0"/>
        <v>1</v>
      </c>
    </row>
    <row r="57" spans="1:16" ht="19.5" customHeight="1">
      <c r="A57" s="14" t="s">
        <v>48</v>
      </c>
      <c r="B57" s="20" t="s">
        <v>77</v>
      </c>
      <c r="C57" s="5" t="s">
        <v>55</v>
      </c>
      <c r="D57" s="9">
        <v>663</v>
      </c>
      <c r="E57" s="9">
        <v>171</v>
      </c>
      <c r="F57" s="9">
        <v>230</v>
      </c>
      <c r="G57" s="9">
        <v>567</v>
      </c>
      <c r="H57" s="9">
        <v>1258</v>
      </c>
      <c r="I57" s="9">
        <v>1738</v>
      </c>
      <c r="J57" s="9">
        <v>2190</v>
      </c>
      <c r="K57" s="9">
        <v>3680</v>
      </c>
      <c r="L57" s="9">
        <v>1775</v>
      </c>
      <c r="M57" s="9">
        <v>5467</v>
      </c>
      <c r="N57" s="9">
        <v>0</v>
      </c>
      <c r="O57" s="5">
        <f t="shared" si="0"/>
        <v>17739</v>
      </c>
    </row>
    <row r="58" spans="1:16" ht="19.5" customHeight="1">
      <c r="A58" s="15"/>
      <c r="B58" s="21"/>
      <c r="C58" s="5" t="s">
        <v>56</v>
      </c>
      <c r="D58" s="9">
        <v>453</v>
      </c>
      <c r="E58" s="9">
        <v>135</v>
      </c>
      <c r="F58" s="9">
        <v>221</v>
      </c>
      <c r="G58" s="9">
        <v>436</v>
      </c>
      <c r="H58" s="9">
        <v>544</v>
      </c>
      <c r="I58" s="9">
        <v>593</v>
      </c>
      <c r="J58" s="9">
        <v>886</v>
      </c>
      <c r="K58" s="9">
        <v>1912</v>
      </c>
      <c r="L58" s="9">
        <v>1135</v>
      </c>
      <c r="M58" s="9">
        <v>5022</v>
      </c>
      <c r="N58" s="9">
        <v>0</v>
      </c>
      <c r="O58" s="5">
        <f t="shared" si="0"/>
        <v>11337</v>
      </c>
    </row>
    <row r="59" spans="1:16" ht="19.5" customHeight="1">
      <c r="A59" s="16"/>
      <c r="B59" s="22"/>
      <c r="C59" s="5" t="s">
        <v>70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2</v>
      </c>
      <c r="K59" s="9">
        <v>3</v>
      </c>
      <c r="L59" s="9">
        <v>4</v>
      </c>
      <c r="M59" s="9">
        <v>1</v>
      </c>
      <c r="N59" s="9">
        <v>0</v>
      </c>
      <c r="O59" s="5">
        <f t="shared" si="0"/>
        <v>10</v>
      </c>
    </row>
    <row r="60" spans="1:16" s="13" customFormat="1" ht="19.5" customHeight="1">
      <c r="A60" s="14" t="s">
        <v>49</v>
      </c>
      <c r="B60" s="20" t="s">
        <v>68</v>
      </c>
      <c r="C60" s="5" t="s">
        <v>55</v>
      </c>
      <c r="D60" s="9">
        <v>11</v>
      </c>
      <c r="E60" s="9">
        <v>86</v>
      </c>
      <c r="F60" s="9">
        <v>56</v>
      </c>
      <c r="G60" s="9">
        <v>245</v>
      </c>
      <c r="H60" s="9">
        <v>337</v>
      </c>
      <c r="I60" s="9">
        <v>305</v>
      </c>
      <c r="J60" s="9">
        <v>237</v>
      </c>
      <c r="K60" s="9">
        <v>153</v>
      </c>
      <c r="L60" s="9">
        <v>72</v>
      </c>
      <c r="M60" s="9">
        <v>136</v>
      </c>
      <c r="N60" s="9">
        <v>0</v>
      </c>
      <c r="O60" s="5">
        <f t="shared" si="0"/>
        <v>1638</v>
      </c>
      <c r="P60" s="8"/>
    </row>
    <row r="61" spans="1:16" s="13" customFormat="1" ht="19.5" customHeight="1">
      <c r="A61" s="15"/>
      <c r="B61" s="21"/>
      <c r="C61" s="5" t="s">
        <v>56</v>
      </c>
      <c r="D61" s="9">
        <v>12</v>
      </c>
      <c r="E61" s="9">
        <v>54</v>
      </c>
      <c r="F61" s="9">
        <v>32</v>
      </c>
      <c r="G61" s="9">
        <v>70</v>
      </c>
      <c r="H61" s="9">
        <v>83</v>
      </c>
      <c r="I61" s="9">
        <v>75</v>
      </c>
      <c r="J61" s="9">
        <v>87</v>
      </c>
      <c r="K61" s="9">
        <v>126</v>
      </c>
      <c r="L61" s="9">
        <v>54</v>
      </c>
      <c r="M61" s="9">
        <v>137</v>
      </c>
      <c r="N61" s="9">
        <v>0</v>
      </c>
      <c r="O61" s="5">
        <f t="shared" si="0"/>
        <v>730</v>
      </c>
      <c r="P61" s="8"/>
    </row>
    <row r="62" spans="1:16" s="13" customFormat="1" ht="19.5" customHeight="1">
      <c r="A62" s="16"/>
      <c r="B62" s="22"/>
      <c r="C62" s="5" t="s">
        <v>70</v>
      </c>
      <c r="D62" s="9">
        <v>0</v>
      </c>
      <c r="E62" s="9">
        <v>0</v>
      </c>
      <c r="F62" s="9">
        <v>0</v>
      </c>
      <c r="G62" s="9">
        <v>0</v>
      </c>
      <c r="H62" s="9">
        <v>1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5">
        <f t="shared" si="0"/>
        <v>1</v>
      </c>
      <c r="P62" s="8"/>
    </row>
    <row r="63" spans="1:16" ht="19.5" customHeight="1">
      <c r="A63" s="14" t="s">
        <v>50</v>
      </c>
      <c r="B63" s="20" t="s">
        <v>69</v>
      </c>
      <c r="C63" s="5" t="s">
        <v>55</v>
      </c>
      <c r="D63" s="9">
        <v>86</v>
      </c>
      <c r="E63" s="9">
        <v>25</v>
      </c>
      <c r="F63" s="9">
        <v>41</v>
      </c>
      <c r="G63" s="9">
        <v>218</v>
      </c>
      <c r="H63" s="9">
        <v>411</v>
      </c>
      <c r="I63" s="9">
        <v>410</v>
      </c>
      <c r="J63" s="9">
        <v>340</v>
      </c>
      <c r="K63" s="9">
        <v>323</v>
      </c>
      <c r="L63" s="9">
        <v>164</v>
      </c>
      <c r="M63" s="9">
        <v>385</v>
      </c>
      <c r="N63" s="9">
        <v>0</v>
      </c>
      <c r="O63" s="5">
        <f t="shared" si="0"/>
        <v>2403</v>
      </c>
    </row>
    <row r="64" spans="1:16" ht="19.5" customHeight="1">
      <c r="A64" s="15"/>
      <c r="B64" s="21"/>
      <c r="C64" s="5" t="s">
        <v>56</v>
      </c>
      <c r="D64" s="9">
        <v>72</v>
      </c>
      <c r="E64" s="9">
        <v>15</v>
      </c>
      <c r="F64" s="9">
        <v>26</v>
      </c>
      <c r="G64" s="9">
        <v>69</v>
      </c>
      <c r="H64" s="9">
        <v>84</v>
      </c>
      <c r="I64" s="9">
        <v>74</v>
      </c>
      <c r="J64" s="9">
        <v>89</v>
      </c>
      <c r="K64" s="9">
        <v>135</v>
      </c>
      <c r="L64" s="9">
        <v>93</v>
      </c>
      <c r="M64" s="9">
        <v>279</v>
      </c>
      <c r="N64" s="9">
        <v>0</v>
      </c>
      <c r="O64" s="5">
        <f>SUM(D64:N64)</f>
        <v>936</v>
      </c>
    </row>
    <row r="65" spans="1:15" ht="21.75" customHeight="1">
      <c r="A65" s="16"/>
      <c r="B65" s="22"/>
      <c r="C65" s="5" t="s">
        <v>70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1</v>
      </c>
      <c r="L65" s="9">
        <v>0</v>
      </c>
      <c r="M65" s="9">
        <v>0</v>
      </c>
      <c r="N65" s="9">
        <v>0</v>
      </c>
      <c r="O65" s="5">
        <f>SUM(D65:N65)</f>
        <v>1</v>
      </c>
    </row>
    <row r="66" spans="1:15" ht="21.75" customHeight="1">
      <c r="A66" s="33" t="s">
        <v>76</v>
      </c>
      <c r="B66" s="6"/>
      <c r="C66" s="5" t="s">
        <v>55</v>
      </c>
      <c r="D66" s="9">
        <v>0</v>
      </c>
      <c r="E66" s="9">
        <v>1</v>
      </c>
      <c r="F66" s="9">
        <v>0</v>
      </c>
      <c r="G66" s="9">
        <v>1</v>
      </c>
      <c r="H66" s="9">
        <v>2</v>
      </c>
      <c r="I66" s="9">
        <v>2</v>
      </c>
      <c r="J66" s="9">
        <v>6</v>
      </c>
      <c r="K66" s="9">
        <v>3</v>
      </c>
      <c r="L66" s="9">
        <v>3</v>
      </c>
      <c r="M66" s="9">
        <v>15</v>
      </c>
      <c r="N66" s="9">
        <v>0</v>
      </c>
      <c r="O66" s="9">
        <f t="shared" ref="O66:O67" si="1">SUM(D66:N66)</f>
        <v>33</v>
      </c>
    </row>
    <row r="67" spans="1:15" ht="21.75" customHeight="1">
      <c r="A67" s="33"/>
      <c r="B67" s="6" t="s">
        <v>75</v>
      </c>
      <c r="C67" s="5" t="s">
        <v>56</v>
      </c>
      <c r="D67" s="9">
        <v>0</v>
      </c>
      <c r="E67" s="9">
        <v>0</v>
      </c>
      <c r="F67" s="9">
        <v>0</v>
      </c>
      <c r="G67" s="9">
        <v>1</v>
      </c>
      <c r="H67" s="9">
        <v>0</v>
      </c>
      <c r="I67" s="9">
        <v>0</v>
      </c>
      <c r="J67" s="9">
        <v>2</v>
      </c>
      <c r="K67" s="9">
        <v>3</v>
      </c>
      <c r="L67" s="9">
        <v>1</v>
      </c>
      <c r="M67" s="9">
        <v>11</v>
      </c>
      <c r="N67" s="9">
        <v>0</v>
      </c>
      <c r="O67" s="9">
        <f t="shared" si="1"/>
        <v>18</v>
      </c>
    </row>
    <row r="68" spans="1:15" ht="21.75" customHeight="1">
      <c r="A68" s="33"/>
      <c r="B68" s="6"/>
      <c r="C68" s="5" t="s">
        <v>70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f>SUM(D68:N68)</f>
        <v>0</v>
      </c>
    </row>
    <row r="69" spans="1:15" ht="21.75" customHeight="1">
      <c r="A69" s="29"/>
      <c r="B69" s="30" t="s">
        <v>51</v>
      </c>
      <c r="C69" s="4" t="s">
        <v>55</v>
      </c>
      <c r="D69" s="4">
        <f>D6+D9+D12+D15+D18+D21+D24+D27+D30+D33+D36+D39+D42+D45+D48+D51+D54+D57+D60+D63+D66</f>
        <v>4032</v>
      </c>
      <c r="E69" s="4">
        <f t="shared" ref="E69:O69" si="2">E6+E9+E12+E15+E18+E21+E24+E27+E30+E33+E36+E39+E42+E45+E48+E51+E54+E57+E60+E63+E66</f>
        <v>935</v>
      </c>
      <c r="F69" s="4">
        <f t="shared" si="2"/>
        <v>1197</v>
      </c>
      <c r="G69" s="4">
        <f t="shared" si="2"/>
        <v>2989</v>
      </c>
      <c r="H69" s="4">
        <f t="shared" si="2"/>
        <v>5947</v>
      </c>
      <c r="I69" s="4">
        <f t="shared" si="2"/>
        <v>9573</v>
      </c>
      <c r="J69" s="4">
        <f t="shared" si="2"/>
        <v>13512</v>
      </c>
      <c r="K69" s="4">
        <f t="shared" si="2"/>
        <v>16049</v>
      </c>
      <c r="L69" s="4">
        <f t="shared" si="2"/>
        <v>7980</v>
      </c>
      <c r="M69" s="4">
        <f t="shared" si="2"/>
        <v>23177</v>
      </c>
      <c r="N69" s="4">
        <f t="shared" si="2"/>
        <v>0</v>
      </c>
      <c r="O69" s="4">
        <f t="shared" si="2"/>
        <v>85391</v>
      </c>
    </row>
    <row r="70" spans="1:15" ht="21.75" customHeight="1">
      <c r="A70" s="29"/>
      <c r="B70" s="31"/>
      <c r="C70" s="4" t="s">
        <v>56</v>
      </c>
      <c r="D70" s="4">
        <f>D7+D10+D13+D16+D19+D22+D25+D28+D31+D34+D37+D40+D43+D46+D49+D52+D55+D58+D61+D64+D67</f>
        <v>2825</v>
      </c>
      <c r="E70" s="4">
        <f t="shared" ref="E70:O70" si="3">E7+E10+E13+E16+E19+E22+E25+E28+E31+E34+E37+E40+E43+E46+E49+E52+E55+E58+E61+E64+E67</f>
        <v>775</v>
      </c>
      <c r="F70" s="4">
        <f t="shared" si="3"/>
        <v>1153</v>
      </c>
      <c r="G70" s="4">
        <f t="shared" si="3"/>
        <v>2270</v>
      </c>
      <c r="H70" s="4">
        <f t="shared" si="3"/>
        <v>2686</v>
      </c>
      <c r="I70" s="4">
        <f t="shared" si="3"/>
        <v>3464</v>
      </c>
      <c r="J70" s="4">
        <f t="shared" si="3"/>
        <v>6129</v>
      </c>
      <c r="K70" s="4">
        <f t="shared" si="3"/>
        <v>9021</v>
      </c>
      <c r="L70" s="4">
        <f t="shared" si="3"/>
        <v>5189</v>
      </c>
      <c r="M70" s="4">
        <f t="shared" si="3"/>
        <v>20539</v>
      </c>
      <c r="N70" s="4">
        <f t="shared" si="3"/>
        <v>0</v>
      </c>
      <c r="O70" s="4">
        <f t="shared" si="3"/>
        <v>54051</v>
      </c>
    </row>
    <row r="71" spans="1:15" ht="21" customHeight="1">
      <c r="A71" s="29"/>
      <c r="B71" s="32"/>
      <c r="C71" s="4" t="s">
        <v>70</v>
      </c>
      <c r="D71" s="4">
        <f>D8+D11+D14+D17+D20+D23+D26+D29+D32+D35+D38+D41+D44+D47+D50+D53+D56+D59+D62+D65+D68</f>
        <v>9</v>
      </c>
      <c r="E71" s="4">
        <f t="shared" ref="E71:O71" si="4">E8+E11+E14+E17+E20+E23+E26+E29+E32+E35+E38+E41+E44+E47+E50+E53+E56+E59+E62+E65+E68</f>
        <v>0</v>
      </c>
      <c r="F71" s="4">
        <f t="shared" si="4"/>
        <v>1</v>
      </c>
      <c r="G71" s="4">
        <f t="shared" si="4"/>
        <v>0</v>
      </c>
      <c r="H71" s="4">
        <f t="shared" si="4"/>
        <v>1</v>
      </c>
      <c r="I71" s="4">
        <f t="shared" si="4"/>
        <v>4</v>
      </c>
      <c r="J71" s="4">
        <f t="shared" si="4"/>
        <v>7</v>
      </c>
      <c r="K71" s="4">
        <f t="shared" si="4"/>
        <v>7</v>
      </c>
      <c r="L71" s="4">
        <f t="shared" si="4"/>
        <v>4</v>
      </c>
      <c r="M71" s="4">
        <f t="shared" si="4"/>
        <v>5</v>
      </c>
      <c r="N71" s="4">
        <f t="shared" si="4"/>
        <v>0</v>
      </c>
      <c r="O71" s="4">
        <f t="shared" si="4"/>
        <v>38</v>
      </c>
    </row>
    <row r="72" spans="1:15" ht="24" customHeight="1">
      <c r="A72" s="29"/>
      <c r="B72" s="4" t="s">
        <v>52</v>
      </c>
      <c r="C72" s="4" t="s">
        <v>51</v>
      </c>
      <c r="D72" s="4">
        <f>SUM(D69:D71)</f>
        <v>6866</v>
      </c>
      <c r="E72" s="4">
        <f t="shared" ref="E72:O72" si="5">SUM(E69:E71)</f>
        <v>1710</v>
      </c>
      <c r="F72" s="4">
        <f t="shared" si="5"/>
        <v>2351</v>
      </c>
      <c r="G72" s="4">
        <f t="shared" si="5"/>
        <v>5259</v>
      </c>
      <c r="H72" s="4">
        <f t="shared" si="5"/>
        <v>8634</v>
      </c>
      <c r="I72" s="4">
        <f t="shared" si="5"/>
        <v>13041</v>
      </c>
      <c r="J72" s="4">
        <f t="shared" si="5"/>
        <v>19648</v>
      </c>
      <c r="K72" s="4">
        <f t="shared" si="5"/>
        <v>25077</v>
      </c>
      <c r="L72" s="4">
        <f t="shared" si="5"/>
        <v>13173</v>
      </c>
      <c r="M72" s="4">
        <f t="shared" si="5"/>
        <v>43721</v>
      </c>
      <c r="N72" s="4">
        <f t="shared" si="5"/>
        <v>0</v>
      </c>
      <c r="O72" s="4">
        <f t="shared" si="5"/>
        <v>139480</v>
      </c>
    </row>
    <row r="74" spans="1:15" ht="19.5" customHeight="1"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</sheetData>
  <mergeCells count="46">
    <mergeCell ref="A69:A72"/>
    <mergeCell ref="B57:B59"/>
    <mergeCell ref="B60:B62"/>
    <mergeCell ref="B63:B65"/>
    <mergeCell ref="B69:B71"/>
    <mergeCell ref="A57:A59"/>
    <mergeCell ref="A60:A62"/>
    <mergeCell ref="A63:A65"/>
    <mergeCell ref="A66:A68"/>
    <mergeCell ref="A21:A23"/>
    <mergeCell ref="B48:B50"/>
    <mergeCell ref="B51:B53"/>
    <mergeCell ref="B54:B56"/>
    <mergeCell ref="A48:A50"/>
    <mergeCell ref="A51:A53"/>
    <mergeCell ref="A54:A56"/>
    <mergeCell ref="B42:B44"/>
    <mergeCell ref="B45:B47"/>
    <mergeCell ref="A42:A44"/>
    <mergeCell ref="A45:A47"/>
    <mergeCell ref="A27:A29"/>
    <mergeCell ref="A30:A32"/>
    <mergeCell ref="A33:A35"/>
    <mergeCell ref="A36:A38"/>
    <mergeCell ref="A39:A41"/>
    <mergeCell ref="B39:B41"/>
    <mergeCell ref="B27:B29"/>
    <mergeCell ref="B30:B32"/>
    <mergeCell ref="B33:B35"/>
    <mergeCell ref="B36:B38"/>
    <mergeCell ref="A24:A26"/>
    <mergeCell ref="A1:O1"/>
    <mergeCell ref="A2:O2"/>
    <mergeCell ref="A3:O3"/>
    <mergeCell ref="B6:B8"/>
    <mergeCell ref="B9:B11"/>
    <mergeCell ref="B12:B14"/>
    <mergeCell ref="B15:B17"/>
    <mergeCell ref="B18:B20"/>
    <mergeCell ref="B21:B23"/>
    <mergeCell ref="B24:B26"/>
    <mergeCell ref="A6:A8"/>
    <mergeCell ref="A9:A11"/>
    <mergeCell ref="A12:A14"/>
    <mergeCell ref="A15:A17"/>
    <mergeCell ref="A18:A20"/>
  </mergeCells>
  <pageMargins left="0.35433070866141703" right="0.196850393700787" top="0.59055118110236204" bottom="0.27559055118110198" header="0.31496062992126" footer="0.24"/>
  <pageSetup scale="65" firstPageNumber="84" orientation="landscape" useFirstPageNumber="1" r:id="rId1"/>
  <headerFooter differentFirst="1">
    <oddFooter>&amp;C85</oddFooter>
    <firstFooter>&amp;C&amp;P</firstFooter>
  </headerFooter>
  <rowBreaks count="1" manualBreakCount="1">
    <brk id="38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D-10</vt:lpstr>
      <vt:lpstr>'D-10'!Print_Area</vt:lpstr>
      <vt:lpstr>'D-10'!Print_Titles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2025-07-29T10:22:35Z</dcterms:modified>
</cp:coreProperties>
</file>